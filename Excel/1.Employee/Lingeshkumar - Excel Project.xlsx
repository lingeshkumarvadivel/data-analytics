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Learning\Credo\1. Excel\Project\"/>
    </mc:Choice>
  </mc:AlternateContent>
  <xr:revisionPtr revIDLastSave="0" documentId="13_ncr:1_{FB806BC0-2971-4BEF-8583-12DA2B2868C6}" xr6:coauthVersionLast="47" xr6:coauthVersionMax="47" xr10:uidLastSave="{00000000-0000-0000-0000-000000000000}"/>
  <bookViews>
    <workbookView xWindow="-108" yWindow="-108" windowWidth="23256" windowHeight="12456" activeTab="3" xr2:uid="{82419299-7594-4805-97C3-FF02A7E5C491}"/>
  </bookViews>
  <sheets>
    <sheet name="Employee data" sheetId="1" r:id="rId1"/>
    <sheet name="Pivot" sheetId="6" r:id="rId2"/>
    <sheet name="Salary Dashboard" sheetId="7" r:id="rId3"/>
    <sheet name="Payroll Summary" sheetId="8" r:id="rId4"/>
    <sheet name="Dept,Desig" sheetId="5" r:id="rId5"/>
  </sheets>
  <definedNames>
    <definedName name="Finance">'Dept,Desig'!$E$2:$E$9</definedName>
    <definedName name="HR">'Dept,Desig'!$F$2:$F$9</definedName>
    <definedName name="IT">'Dept,Desig'!$D$2:$D$15</definedName>
    <definedName name="Marketing">'Dept,Desig'!$G$2:$G$7</definedName>
    <definedName name="Operations">'Dept,Desig'!$C$2:$C$9</definedName>
    <definedName name="Sales">'Dept,Desig'!$B$2:$B$11</definedName>
  </definedNames>
  <calcPr calcId="181029"/>
  <pivotCaches>
    <pivotCache cacheId="0" r:id="rId6"/>
    <pivotCache cacheId="1" r:id="rId7"/>
  </pivotCaches>
</workbook>
</file>

<file path=xl/calcChain.xml><?xml version="1.0" encoding="utf-8"?>
<calcChain xmlns="http://schemas.openxmlformats.org/spreadsheetml/2006/main">
  <c r="B128" i="1" l="1"/>
  <c r="B119" i="1"/>
  <c r="B127" i="1"/>
  <c r="B125" i="1"/>
  <c r="I108" i="1"/>
  <c r="F114" i="1"/>
  <c r="F115" i="1" s="1"/>
  <c r="B1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B126" i="1" s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J3" i="1"/>
  <c r="Y3" i="1" s="1"/>
  <c r="J4" i="1"/>
  <c r="Y4" i="1" s="1"/>
  <c r="J5" i="1"/>
  <c r="Y5" i="1" s="1"/>
  <c r="J6" i="1"/>
  <c r="Y6" i="1" s="1"/>
  <c r="J7" i="1"/>
  <c r="Y7" i="1" s="1"/>
  <c r="J8" i="1"/>
  <c r="Y8" i="1" s="1"/>
  <c r="J9" i="1"/>
  <c r="Y9" i="1" s="1"/>
  <c r="J10" i="1"/>
  <c r="Y10" i="1" s="1"/>
  <c r="J11" i="1"/>
  <c r="Y11" i="1" s="1"/>
  <c r="J12" i="1"/>
  <c r="Y12" i="1" s="1"/>
  <c r="J13" i="1"/>
  <c r="Y13" i="1" s="1"/>
  <c r="J14" i="1"/>
  <c r="Y14" i="1" s="1"/>
  <c r="J15" i="1"/>
  <c r="Y15" i="1" s="1"/>
  <c r="J16" i="1"/>
  <c r="Y16" i="1" s="1"/>
  <c r="J17" i="1"/>
  <c r="Y17" i="1" s="1"/>
  <c r="J18" i="1"/>
  <c r="Y18" i="1" s="1"/>
  <c r="J19" i="1"/>
  <c r="Y19" i="1" s="1"/>
  <c r="J20" i="1"/>
  <c r="Y20" i="1" s="1"/>
  <c r="J21" i="1"/>
  <c r="Y21" i="1" s="1"/>
  <c r="J22" i="1"/>
  <c r="Y22" i="1" s="1"/>
  <c r="J23" i="1"/>
  <c r="Y23" i="1" s="1"/>
  <c r="J24" i="1"/>
  <c r="Y24" i="1" s="1"/>
  <c r="J25" i="1"/>
  <c r="Y25" i="1" s="1"/>
  <c r="J26" i="1"/>
  <c r="Y26" i="1" s="1"/>
  <c r="J27" i="1"/>
  <c r="Y27" i="1" s="1"/>
  <c r="J28" i="1"/>
  <c r="Y28" i="1" s="1"/>
  <c r="J29" i="1"/>
  <c r="Y29" i="1" s="1"/>
  <c r="J30" i="1"/>
  <c r="Y30" i="1" s="1"/>
  <c r="J31" i="1"/>
  <c r="Y31" i="1" s="1"/>
  <c r="J32" i="1"/>
  <c r="Y32" i="1" s="1"/>
  <c r="J33" i="1"/>
  <c r="Y33" i="1" s="1"/>
  <c r="J34" i="1"/>
  <c r="Y34" i="1" s="1"/>
  <c r="J35" i="1"/>
  <c r="Y35" i="1" s="1"/>
  <c r="J36" i="1"/>
  <c r="Y36" i="1" s="1"/>
  <c r="J37" i="1"/>
  <c r="Y37" i="1" s="1"/>
  <c r="J38" i="1"/>
  <c r="Y38" i="1" s="1"/>
  <c r="J39" i="1"/>
  <c r="Y39" i="1" s="1"/>
  <c r="J40" i="1"/>
  <c r="Y40" i="1" s="1"/>
  <c r="J41" i="1"/>
  <c r="Y41" i="1" s="1"/>
  <c r="J42" i="1"/>
  <c r="Y42" i="1" s="1"/>
  <c r="J43" i="1"/>
  <c r="Y43" i="1" s="1"/>
  <c r="J44" i="1"/>
  <c r="Y44" i="1" s="1"/>
  <c r="J45" i="1"/>
  <c r="Y45" i="1" s="1"/>
  <c r="J46" i="1"/>
  <c r="Y46" i="1" s="1"/>
  <c r="J47" i="1"/>
  <c r="Y47" i="1" s="1"/>
  <c r="J48" i="1"/>
  <c r="Y48" i="1" s="1"/>
  <c r="J49" i="1"/>
  <c r="Y49" i="1" s="1"/>
  <c r="J50" i="1"/>
  <c r="Y50" i="1" s="1"/>
  <c r="J51" i="1"/>
  <c r="Y51" i="1" s="1"/>
  <c r="J52" i="1"/>
  <c r="Y52" i="1" s="1"/>
  <c r="J53" i="1"/>
  <c r="Y53" i="1" s="1"/>
  <c r="J54" i="1"/>
  <c r="Y54" i="1" s="1"/>
  <c r="J55" i="1"/>
  <c r="Y55" i="1" s="1"/>
  <c r="J56" i="1"/>
  <c r="Y56" i="1" s="1"/>
  <c r="J57" i="1"/>
  <c r="Y57" i="1" s="1"/>
  <c r="J58" i="1"/>
  <c r="Y58" i="1" s="1"/>
  <c r="J59" i="1"/>
  <c r="Y59" i="1" s="1"/>
  <c r="J60" i="1"/>
  <c r="Y60" i="1" s="1"/>
  <c r="J61" i="1"/>
  <c r="Y61" i="1" s="1"/>
  <c r="J62" i="1"/>
  <c r="Y62" i="1" s="1"/>
  <c r="J63" i="1"/>
  <c r="Y63" i="1" s="1"/>
  <c r="J64" i="1"/>
  <c r="Y64" i="1" s="1"/>
  <c r="J65" i="1"/>
  <c r="Y65" i="1" s="1"/>
  <c r="J66" i="1"/>
  <c r="Y66" i="1" s="1"/>
  <c r="J67" i="1"/>
  <c r="Y67" i="1" s="1"/>
  <c r="J68" i="1"/>
  <c r="Y68" i="1" s="1"/>
  <c r="J69" i="1"/>
  <c r="Y69" i="1" s="1"/>
  <c r="J70" i="1"/>
  <c r="Y70" i="1" s="1"/>
  <c r="J71" i="1"/>
  <c r="Y71" i="1" s="1"/>
  <c r="J72" i="1"/>
  <c r="Y72" i="1" s="1"/>
  <c r="J73" i="1"/>
  <c r="Y73" i="1" s="1"/>
  <c r="J74" i="1"/>
  <c r="Y74" i="1" s="1"/>
  <c r="J75" i="1"/>
  <c r="Y75" i="1" s="1"/>
  <c r="J76" i="1"/>
  <c r="Y76" i="1" s="1"/>
  <c r="J77" i="1"/>
  <c r="Y77" i="1" s="1"/>
  <c r="J78" i="1"/>
  <c r="Y78" i="1" s="1"/>
  <c r="J79" i="1"/>
  <c r="Y79" i="1" s="1"/>
  <c r="J80" i="1"/>
  <c r="Y80" i="1" s="1"/>
  <c r="J81" i="1"/>
  <c r="Y81" i="1" s="1"/>
  <c r="J82" i="1"/>
  <c r="Y82" i="1" s="1"/>
  <c r="J83" i="1"/>
  <c r="Y83" i="1" s="1"/>
  <c r="J84" i="1"/>
  <c r="Y84" i="1" s="1"/>
  <c r="J85" i="1"/>
  <c r="Y85" i="1" s="1"/>
  <c r="J86" i="1"/>
  <c r="Y86" i="1" s="1"/>
  <c r="J87" i="1"/>
  <c r="Y87" i="1" s="1"/>
  <c r="J88" i="1"/>
  <c r="Y88" i="1" s="1"/>
  <c r="J89" i="1"/>
  <c r="Y89" i="1" s="1"/>
  <c r="J90" i="1"/>
  <c r="Y90" i="1" s="1"/>
  <c r="J91" i="1"/>
  <c r="Y91" i="1" s="1"/>
  <c r="J92" i="1"/>
  <c r="Y92" i="1" s="1"/>
  <c r="J93" i="1"/>
  <c r="Y93" i="1" s="1"/>
  <c r="J94" i="1"/>
  <c r="Y94" i="1" s="1"/>
  <c r="J95" i="1"/>
  <c r="Y95" i="1" s="1"/>
  <c r="J96" i="1"/>
  <c r="Y96" i="1" s="1"/>
  <c r="J97" i="1"/>
  <c r="Y97" i="1" s="1"/>
  <c r="J98" i="1"/>
  <c r="Y98" i="1" s="1"/>
  <c r="J99" i="1"/>
  <c r="Y99" i="1" s="1"/>
  <c r="J100" i="1"/>
  <c r="Y100" i="1" s="1"/>
  <c r="J101" i="1"/>
  <c r="Y101" i="1" s="1"/>
  <c r="J102" i="1"/>
  <c r="Y102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B130" i="1" s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P3" i="1"/>
  <c r="Q3" i="1" s="1"/>
  <c r="S3" i="1" s="1"/>
  <c r="P4" i="1"/>
  <c r="Q4" i="1" s="1"/>
  <c r="P5" i="1"/>
  <c r="Q5" i="1" s="1"/>
  <c r="P6" i="1"/>
  <c r="Q6" i="1" s="1"/>
  <c r="P7" i="1"/>
  <c r="Q7" i="1" s="1"/>
  <c r="P8" i="1"/>
  <c r="Q8" i="1" s="1"/>
  <c r="S8" i="1" s="1"/>
  <c r="P9" i="1"/>
  <c r="Q9" i="1" s="1"/>
  <c r="S9" i="1" s="1"/>
  <c r="P10" i="1"/>
  <c r="Q10" i="1" s="1"/>
  <c r="P11" i="1"/>
  <c r="Q11" i="1" s="1"/>
  <c r="S11" i="1" s="1"/>
  <c r="P12" i="1"/>
  <c r="Q12" i="1" s="1"/>
  <c r="P13" i="1"/>
  <c r="Q13" i="1" s="1"/>
  <c r="P14" i="1"/>
  <c r="Q14" i="1" s="1"/>
  <c r="P15" i="1"/>
  <c r="Q15" i="1" s="1"/>
  <c r="P16" i="1"/>
  <c r="Q16" i="1" s="1"/>
  <c r="S16" i="1" s="1"/>
  <c r="P17" i="1"/>
  <c r="Q17" i="1" s="1"/>
  <c r="S17" i="1" s="1"/>
  <c r="P18" i="1"/>
  <c r="Q18" i="1" s="1"/>
  <c r="P19" i="1"/>
  <c r="Q19" i="1" s="1"/>
  <c r="S19" i="1" s="1"/>
  <c r="P20" i="1"/>
  <c r="Q20" i="1" s="1"/>
  <c r="P21" i="1"/>
  <c r="Q21" i="1" s="1"/>
  <c r="P22" i="1"/>
  <c r="Q22" i="1" s="1"/>
  <c r="P23" i="1"/>
  <c r="Q23" i="1" s="1"/>
  <c r="P24" i="1"/>
  <c r="Q24" i="1" s="1"/>
  <c r="S24" i="1" s="1"/>
  <c r="P25" i="1"/>
  <c r="Q25" i="1" s="1"/>
  <c r="S25" i="1" s="1"/>
  <c r="P26" i="1"/>
  <c r="Q26" i="1" s="1"/>
  <c r="P27" i="1"/>
  <c r="Q27" i="1" s="1"/>
  <c r="S27" i="1" s="1"/>
  <c r="P28" i="1"/>
  <c r="Q28" i="1" s="1"/>
  <c r="P29" i="1"/>
  <c r="Q29" i="1" s="1"/>
  <c r="P30" i="1"/>
  <c r="Q30" i="1" s="1"/>
  <c r="P31" i="1"/>
  <c r="Q31" i="1" s="1"/>
  <c r="P32" i="1"/>
  <c r="Q32" i="1" s="1"/>
  <c r="S32" i="1" s="1"/>
  <c r="P33" i="1"/>
  <c r="Q33" i="1" s="1"/>
  <c r="S33" i="1" s="1"/>
  <c r="P34" i="1"/>
  <c r="Q34" i="1" s="1"/>
  <c r="P35" i="1"/>
  <c r="Q35" i="1" s="1"/>
  <c r="S35" i="1" s="1"/>
  <c r="P36" i="1"/>
  <c r="Q36" i="1" s="1"/>
  <c r="P37" i="1"/>
  <c r="Q37" i="1" s="1"/>
  <c r="P38" i="1"/>
  <c r="Q38" i="1" s="1"/>
  <c r="P39" i="1"/>
  <c r="Q39" i="1" s="1"/>
  <c r="P40" i="1"/>
  <c r="Q40" i="1" s="1"/>
  <c r="S40" i="1" s="1"/>
  <c r="P41" i="1"/>
  <c r="Q41" i="1" s="1"/>
  <c r="S41" i="1" s="1"/>
  <c r="P42" i="1"/>
  <c r="Q42" i="1" s="1"/>
  <c r="P43" i="1"/>
  <c r="Q43" i="1" s="1"/>
  <c r="S43" i="1" s="1"/>
  <c r="P44" i="1"/>
  <c r="Q44" i="1" s="1"/>
  <c r="P45" i="1"/>
  <c r="Q45" i="1" s="1"/>
  <c r="P46" i="1"/>
  <c r="Q46" i="1" s="1"/>
  <c r="P47" i="1"/>
  <c r="Q47" i="1" s="1"/>
  <c r="P48" i="1"/>
  <c r="Q48" i="1" s="1"/>
  <c r="S48" i="1" s="1"/>
  <c r="P49" i="1"/>
  <c r="Q49" i="1" s="1"/>
  <c r="S49" i="1" s="1"/>
  <c r="P50" i="1"/>
  <c r="Q50" i="1" s="1"/>
  <c r="P51" i="1"/>
  <c r="Q51" i="1" s="1"/>
  <c r="S51" i="1" s="1"/>
  <c r="P52" i="1"/>
  <c r="Q52" i="1" s="1"/>
  <c r="P53" i="1"/>
  <c r="Q53" i="1" s="1"/>
  <c r="P54" i="1"/>
  <c r="Q54" i="1" s="1"/>
  <c r="P55" i="1"/>
  <c r="Q55" i="1" s="1"/>
  <c r="P56" i="1"/>
  <c r="Q56" i="1" s="1"/>
  <c r="S56" i="1" s="1"/>
  <c r="P57" i="1"/>
  <c r="Q57" i="1" s="1"/>
  <c r="S57" i="1" s="1"/>
  <c r="P58" i="1"/>
  <c r="Q58" i="1" s="1"/>
  <c r="P59" i="1"/>
  <c r="Q59" i="1" s="1"/>
  <c r="S59" i="1" s="1"/>
  <c r="P60" i="1"/>
  <c r="Q60" i="1" s="1"/>
  <c r="P61" i="1"/>
  <c r="Q61" i="1" s="1"/>
  <c r="P62" i="1"/>
  <c r="Q62" i="1" s="1"/>
  <c r="P63" i="1"/>
  <c r="Q63" i="1" s="1"/>
  <c r="P64" i="1"/>
  <c r="Q64" i="1" s="1"/>
  <c r="S64" i="1" s="1"/>
  <c r="P65" i="1"/>
  <c r="Q65" i="1" s="1"/>
  <c r="S65" i="1" s="1"/>
  <c r="P66" i="1"/>
  <c r="Q66" i="1" s="1"/>
  <c r="P67" i="1"/>
  <c r="Q67" i="1" s="1"/>
  <c r="S67" i="1" s="1"/>
  <c r="P68" i="1"/>
  <c r="Q68" i="1" s="1"/>
  <c r="P69" i="1"/>
  <c r="Q69" i="1" s="1"/>
  <c r="P70" i="1"/>
  <c r="Q70" i="1" s="1"/>
  <c r="P71" i="1"/>
  <c r="Q71" i="1" s="1"/>
  <c r="P72" i="1"/>
  <c r="Q72" i="1" s="1"/>
  <c r="S72" i="1" s="1"/>
  <c r="P73" i="1"/>
  <c r="Q73" i="1" s="1"/>
  <c r="S73" i="1" s="1"/>
  <c r="P74" i="1"/>
  <c r="Q74" i="1" s="1"/>
  <c r="P75" i="1"/>
  <c r="Q75" i="1" s="1"/>
  <c r="S75" i="1" s="1"/>
  <c r="P76" i="1"/>
  <c r="Q76" i="1" s="1"/>
  <c r="P77" i="1"/>
  <c r="Q77" i="1" s="1"/>
  <c r="P78" i="1"/>
  <c r="Q78" i="1" s="1"/>
  <c r="P79" i="1"/>
  <c r="Q79" i="1" s="1"/>
  <c r="P80" i="1"/>
  <c r="Q80" i="1" s="1"/>
  <c r="S80" i="1" s="1"/>
  <c r="P81" i="1"/>
  <c r="Q81" i="1" s="1"/>
  <c r="S81" i="1" s="1"/>
  <c r="P82" i="1"/>
  <c r="Q82" i="1" s="1"/>
  <c r="P83" i="1"/>
  <c r="Q83" i="1" s="1"/>
  <c r="S83" i="1" s="1"/>
  <c r="P84" i="1"/>
  <c r="Q84" i="1" s="1"/>
  <c r="P85" i="1"/>
  <c r="Q85" i="1" s="1"/>
  <c r="P86" i="1"/>
  <c r="Q86" i="1" s="1"/>
  <c r="P87" i="1"/>
  <c r="Q87" i="1" s="1"/>
  <c r="P88" i="1"/>
  <c r="Q88" i="1" s="1"/>
  <c r="S88" i="1" s="1"/>
  <c r="P89" i="1"/>
  <c r="Q89" i="1" s="1"/>
  <c r="S89" i="1" s="1"/>
  <c r="P90" i="1"/>
  <c r="Q90" i="1" s="1"/>
  <c r="P91" i="1"/>
  <c r="Q91" i="1" s="1"/>
  <c r="S91" i="1" s="1"/>
  <c r="P92" i="1"/>
  <c r="Q92" i="1" s="1"/>
  <c r="P93" i="1"/>
  <c r="Q93" i="1" s="1"/>
  <c r="P94" i="1"/>
  <c r="Q94" i="1" s="1"/>
  <c r="P95" i="1"/>
  <c r="Q95" i="1" s="1"/>
  <c r="P96" i="1"/>
  <c r="Q96" i="1" s="1"/>
  <c r="S96" i="1" s="1"/>
  <c r="P97" i="1"/>
  <c r="Q97" i="1" s="1"/>
  <c r="S97" i="1" s="1"/>
  <c r="P98" i="1"/>
  <c r="Q98" i="1" s="1"/>
  <c r="P99" i="1"/>
  <c r="Q99" i="1" s="1"/>
  <c r="S99" i="1" s="1"/>
  <c r="P100" i="1"/>
  <c r="Q100" i="1" s="1"/>
  <c r="P101" i="1"/>
  <c r="Q101" i="1" s="1"/>
  <c r="P102" i="1"/>
  <c r="Q102" i="1" s="1"/>
  <c r="S98" i="1" l="1"/>
  <c r="S90" i="1"/>
  <c r="S82" i="1"/>
  <c r="S74" i="1"/>
  <c r="S66" i="1"/>
  <c r="S58" i="1"/>
  <c r="W58" i="1" s="1"/>
  <c r="X58" i="1" s="1"/>
  <c r="Z58" i="1" s="1"/>
  <c r="S50" i="1"/>
  <c r="S42" i="1"/>
  <c r="W42" i="1" s="1"/>
  <c r="X42" i="1" s="1"/>
  <c r="Z42" i="1" s="1"/>
  <c r="S34" i="1"/>
  <c r="S26" i="1"/>
  <c r="S18" i="1"/>
  <c r="S10" i="1"/>
  <c r="B129" i="1"/>
  <c r="S101" i="1"/>
  <c r="S85" i="1"/>
  <c r="S61" i="1"/>
  <c r="W61" i="1" s="1"/>
  <c r="X61" i="1" s="1"/>
  <c r="Z61" i="1" s="1"/>
  <c r="S45" i="1"/>
  <c r="S29" i="1"/>
  <c r="W29" i="1" s="1"/>
  <c r="X29" i="1" s="1"/>
  <c r="Z29" i="1" s="1"/>
  <c r="S13" i="1"/>
  <c r="W13" i="1" s="1"/>
  <c r="X13" i="1" s="1"/>
  <c r="Z13" i="1" s="1"/>
  <c r="S5" i="1"/>
  <c r="W5" i="1" s="1"/>
  <c r="X5" i="1" s="1"/>
  <c r="Z5" i="1" s="1"/>
  <c r="S93" i="1"/>
  <c r="W93" i="1" s="1"/>
  <c r="X93" i="1" s="1"/>
  <c r="Z93" i="1" s="1"/>
  <c r="S77" i="1"/>
  <c r="W77" i="1" s="1"/>
  <c r="X77" i="1" s="1"/>
  <c r="Z77" i="1" s="1"/>
  <c r="S69" i="1"/>
  <c r="W69" i="1" s="1"/>
  <c r="X69" i="1" s="1"/>
  <c r="Z69" i="1" s="1"/>
  <c r="S53" i="1"/>
  <c r="W53" i="1" s="1"/>
  <c r="X53" i="1" s="1"/>
  <c r="Z53" i="1" s="1"/>
  <c r="S37" i="1"/>
  <c r="W37" i="1" s="1"/>
  <c r="X37" i="1" s="1"/>
  <c r="Z37" i="1" s="1"/>
  <c r="S21" i="1"/>
  <c r="W21" i="1" s="1"/>
  <c r="X21" i="1" s="1"/>
  <c r="Z21" i="1" s="1"/>
  <c r="S100" i="1"/>
  <c r="S92" i="1"/>
  <c r="W92" i="1" s="1"/>
  <c r="X92" i="1" s="1"/>
  <c r="Z92" i="1" s="1"/>
  <c r="S84" i="1"/>
  <c r="W84" i="1" s="1"/>
  <c r="X84" i="1" s="1"/>
  <c r="Z84" i="1" s="1"/>
  <c r="S76" i="1"/>
  <c r="S68" i="1"/>
  <c r="W68" i="1" s="1"/>
  <c r="X68" i="1" s="1"/>
  <c r="Z68" i="1" s="1"/>
  <c r="S60" i="1"/>
  <c r="W60" i="1" s="1"/>
  <c r="X60" i="1" s="1"/>
  <c r="Z60" i="1" s="1"/>
  <c r="S52" i="1"/>
  <c r="W52" i="1" s="1"/>
  <c r="X52" i="1" s="1"/>
  <c r="Z52" i="1" s="1"/>
  <c r="S44" i="1"/>
  <c r="S36" i="1"/>
  <c r="S28" i="1"/>
  <c r="W28" i="1" s="1"/>
  <c r="X28" i="1" s="1"/>
  <c r="Z28" i="1" s="1"/>
  <c r="S20" i="1"/>
  <c r="S12" i="1"/>
  <c r="S4" i="1"/>
  <c r="W4" i="1" s="1"/>
  <c r="X4" i="1" s="1"/>
  <c r="Z4" i="1" s="1"/>
  <c r="S95" i="1"/>
  <c r="S87" i="1"/>
  <c r="S79" i="1"/>
  <c r="W79" i="1" s="1"/>
  <c r="X79" i="1" s="1"/>
  <c r="Z79" i="1" s="1"/>
  <c r="S71" i="1"/>
  <c r="S63" i="1"/>
  <c r="W63" i="1" s="1"/>
  <c r="X63" i="1" s="1"/>
  <c r="Z63" i="1" s="1"/>
  <c r="S55" i="1"/>
  <c r="W55" i="1" s="1"/>
  <c r="X55" i="1" s="1"/>
  <c r="Z55" i="1" s="1"/>
  <c r="S47" i="1"/>
  <c r="W47" i="1" s="1"/>
  <c r="X47" i="1" s="1"/>
  <c r="Z47" i="1" s="1"/>
  <c r="S39" i="1"/>
  <c r="W39" i="1" s="1"/>
  <c r="X39" i="1" s="1"/>
  <c r="Z39" i="1" s="1"/>
  <c r="S31" i="1"/>
  <c r="W31" i="1" s="1"/>
  <c r="S23" i="1"/>
  <c r="W23" i="1" s="1"/>
  <c r="X23" i="1" s="1"/>
  <c r="Z23" i="1" s="1"/>
  <c r="S15" i="1"/>
  <c r="W15" i="1" s="1"/>
  <c r="X15" i="1" s="1"/>
  <c r="Z15" i="1" s="1"/>
  <c r="S7" i="1"/>
  <c r="W7" i="1" s="1"/>
  <c r="X7" i="1" s="1"/>
  <c r="Z7" i="1" s="1"/>
  <c r="S102" i="1"/>
  <c r="W102" i="1" s="1"/>
  <c r="X102" i="1" s="1"/>
  <c r="Z102" i="1" s="1"/>
  <c r="S94" i="1"/>
  <c r="W94" i="1" s="1"/>
  <c r="S86" i="1"/>
  <c r="W86" i="1" s="1"/>
  <c r="X86" i="1" s="1"/>
  <c r="Z86" i="1" s="1"/>
  <c r="S78" i="1"/>
  <c r="W78" i="1" s="1"/>
  <c r="X78" i="1" s="1"/>
  <c r="Z78" i="1" s="1"/>
  <c r="S70" i="1"/>
  <c r="S62" i="1"/>
  <c r="W62" i="1" s="1"/>
  <c r="X62" i="1" s="1"/>
  <c r="Z62" i="1" s="1"/>
  <c r="S54" i="1"/>
  <c r="W54" i="1" s="1"/>
  <c r="X54" i="1" s="1"/>
  <c r="Z54" i="1" s="1"/>
  <c r="S46" i="1"/>
  <c r="W46" i="1" s="1"/>
  <c r="X46" i="1" s="1"/>
  <c r="Z46" i="1" s="1"/>
  <c r="S38" i="1"/>
  <c r="W38" i="1" s="1"/>
  <c r="X38" i="1" s="1"/>
  <c r="Z38" i="1" s="1"/>
  <c r="S30" i="1"/>
  <c r="W30" i="1" s="1"/>
  <c r="S22" i="1"/>
  <c r="W22" i="1" s="1"/>
  <c r="X22" i="1" s="1"/>
  <c r="Z22" i="1" s="1"/>
  <c r="S14" i="1"/>
  <c r="W14" i="1" s="1"/>
  <c r="X14" i="1" s="1"/>
  <c r="Z14" i="1" s="1"/>
  <c r="S6" i="1"/>
  <c r="W51" i="1"/>
  <c r="X51" i="1" s="1"/>
  <c r="Z51" i="1" s="1"/>
  <c r="W35" i="1"/>
  <c r="X35" i="1" s="1"/>
  <c r="Z35" i="1" s="1"/>
  <c r="W19" i="1"/>
  <c r="X19" i="1" s="1"/>
  <c r="Z19" i="1" s="1"/>
  <c r="W11" i="1"/>
  <c r="X11" i="1" s="1"/>
  <c r="Z11" i="1" s="1"/>
  <c r="W98" i="1"/>
  <c r="X98" i="1" s="1"/>
  <c r="Z98" i="1" s="1"/>
  <c r="W82" i="1"/>
  <c r="X82" i="1" s="1"/>
  <c r="Z82" i="1" s="1"/>
  <c r="W74" i="1"/>
  <c r="X74" i="1" s="1"/>
  <c r="Z74" i="1" s="1"/>
  <c r="W66" i="1"/>
  <c r="X66" i="1" s="1"/>
  <c r="Z66" i="1" s="1"/>
  <c r="W50" i="1"/>
  <c r="X50" i="1" s="1"/>
  <c r="W34" i="1"/>
  <c r="X34" i="1" s="1"/>
  <c r="Z34" i="1" s="1"/>
  <c r="W26" i="1"/>
  <c r="X26" i="1" s="1"/>
  <c r="Z26" i="1" s="1"/>
  <c r="W18" i="1"/>
  <c r="X18" i="1" s="1"/>
  <c r="Z18" i="1" s="1"/>
  <c r="W10" i="1"/>
  <c r="X10" i="1" s="1"/>
  <c r="Z10" i="1" s="1"/>
  <c r="W99" i="1"/>
  <c r="X99" i="1" s="1"/>
  <c r="Z99" i="1" s="1"/>
  <c r="W43" i="1"/>
  <c r="X43" i="1" s="1"/>
  <c r="Z43" i="1" s="1"/>
  <c r="W27" i="1"/>
  <c r="X27" i="1" s="1"/>
  <c r="Z27" i="1" s="1"/>
  <c r="W3" i="1"/>
  <c r="X3" i="1" s="1"/>
  <c r="Z3" i="1" s="1"/>
  <c r="W90" i="1"/>
  <c r="X90" i="1" s="1"/>
  <c r="Z90" i="1" s="1"/>
  <c r="W97" i="1"/>
  <c r="X97" i="1" s="1"/>
  <c r="Z97" i="1" s="1"/>
  <c r="W89" i="1"/>
  <c r="X89" i="1" s="1"/>
  <c r="Z89" i="1" s="1"/>
  <c r="W81" i="1"/>
  <c r="X81" i="1" s="1"/>
  <c r="Z81" i="1" s="1"/>
  <c r="W73" i="1"/>
  <c r="X73" i="1" s="1"/>
  <c r="Z73" i="1" s="1"/>
  <c r="W65" i="1"/>
  <c r="X65" i="1" s="1"/>
  <c r="Z65" i="1" s="1"/>
  <c r="W57" i="1"/>
  <c r="X57" i="1" s="1"/>
  <c r="Z57" i="1" s="1"/>
  <c r="W49" i="1"/>
  <c r="X49" i="1" s="1"/>
  <c r="Z49" i="1" s="1"/>
  <c r="W41" i="1"/>
  <c r="X41" i="1" s="1"/>
  <c r="Z41" i="1" s="1"/>
  <c r="W33" i="1"/>
  <c r="X33" i="1" s="1"/>
  <c r="Z33" i="1" s="1"/>
  <c r="W25" i="1"/>
  <c r="X25" i="1" s="1"/>
  <c r="Z25" i="1" s="1"/>
  <c r="W17" i="1"/>
  <c r="X17" i="1" s="1"/>
  <c r="Z17" i="1" s="1"/>
  <c r="W9" i="1"/>
  <c r="X9" i="1" s="1"/>
  <c r="Z9" i="1" s="1"/>
  <c r="W83" i="1"/>
  <c r="X83" i="1" s="1"/>
  <c r="Z83" i="1" s="1"/>
  <c r="W80" i="1"/>
  <c r="X80" i="1" s="1"/>
  <c r="Z80" i="1" s="1"/>
  <c r="W48" i="1"/>
  <c r="X48" i="1" s="1"/>
  <c r="Z48" i="1" s="1"/>
  <c r="W12" i="1"/>
  <c r="X12" i="1" s="1"/>
  <c r="Z12" i="1" s="1"/>
  <c r="W67" i="1"/>
  <c r="X67" i="1" s="1"/>
  <c r="Z67" i="1" s="1"/>
  <c r="W96" i="1"/>
  <c r="X96" i="1" s="1"/>
  <c r="Z96" i="1" s="1"/>
  <c r="W64" i="1"/>
  <c r="X64" i="1" s="1"/>
  <c r="Z64" i="1" s="1"/>
  <c r="W32" i="1"/>
  <c r="X32" i="1" s="1"/>
  <c r="Z32" i="1" s="1"/>
  <c r="W44" i="1"/>
  <c r="X44" i="1" s="1"/>
  <c r="Z44" i="1" s="1"/>
  <c r="W87" i="1"/>
  <c r="X87" i="1" s="1"/>
  <c r="Z87" i="1" s="1"/>
  <c r="W71" i="1"/>
  <c r="X71" i="1" s="1"/>
  <c r="Z71" i="1" s="1"/>
  <c r="W59" i="1"/>
  <c r="X59" i="1" s="1"/>
  <c r="Z59" i="1" s="1"/>
  <c r="W56" i="1"/>
  <c r="X56" i="1" s="1"/>
  <c r="Z56" i="1" s="1"/>
  <c r="W16" i="1"/>
  <c r="X16" i="1" s="1"/>
  <c r="Z16" i="1" s="1"/>
  <c r="W75" i="1"/>
  <c r="X75" i="1" s="1"/>
  <c r="Z75" i="1" s="1"/>
  <c r="W72" i="1"/>
  <c r="X72" i="1" s="1"/>
  <c r="Z72" i="1" s="1"/>
  <c r="W24" i="1"/>
  <c r="X24" i="1" s="1"/>
  <c r="Z24" i="1" s="1"/>
  <c r="W76" i="1"/>
  <c r="X76" i="1" s="1"/>
  <c r="Z76" i="1" s="1"/>
  <c r="W36" i="1"/>
  <c r="X36" i="1" s="1"/>
  <c r="Z36" i="1" s="1"/>
  <c r="W101" i="1"/>
  <c r="X101" i="1" s="1"/>
  <c r="Z101" i="1" s="1"/>
  <c r="W85" i="1"/>
  <c r="X85" i="1" s="1"/>
  <c r="Z85" i="1" s="1"/>
  <c r="W45" i="1"/>
  <c r="X45" i="1" s="1"/>
  <c r="Z45" i="1" s="1"/>
  <c r="W91" i="1"/>
  <c r="X91" i="1" s="1"/>
  <c r="Z91" i="1" s="1"/>
  <c r="W88" i="1"/>
  <c r="X88" i="1" s="1"/>
  <c r="Z88" i="1" s="1"/>
  <c r="W40" i="1"/>
  <c r="X40" i="1" s="1"/>
  <c r="Z40" i="1" s="1"/>
  <c r="W8" i="1"/>
  <c r="X8" i="1" s="1"/>
  <c r="Z8" i="1" s="1"/>
  <c r="M119" i="1"/>
  <c r="M121" i="1" l="1"/>
  <c r="Z50" i="1"/>
  <c r="B132" i="1" s="1"/>
  <c r="B131" i="1"/>
  <c r="M112" i="1"/>
  <c r="M107" i="1"/>
  <c r="W100" i="1"/>
  <c r="X100" i="1" s="1"/>
  <c r="Z100" i="1" s="1"/>
  <c r="M122" i="1"/>
  <c r="M108" i="1"/>
  <c r="O109" i="1"/>
  <c r="X30" i="1"/>
  <c r="Z30" i="1" s="1"/>
  <c r="X94" i="1"/>
  <c r="Z94" i="1" s="1"/>
  <c r="M110" i="1"/>
  <c r="M109" i="1"/>
  <c r="W20" i="1"/>
  <c r="X20" i="1" s="1"/>
  <c r="Z20" i="1" s="1"/>
  <c r="O108" i="1"/>
  <c r="M120" i="1"/>
  <c r="M118" i="1"/>
  <c r="O111" i="1"/>
  <c r="W70" i="1"/>
  <c r="X70" i="1" s="1"/>
  <c r="Z70" i="1" s="1"/>
  <c r="M117" i="1"/>
  <c r="O110" i="1"/>
  <c r="W6" i="1"/>
  <c r="X6" i="1" s="1"/>
  <c r="Z6" i="1" s="1"/>
  <c r="W95" i="1"/>
  <c r="X95" i="1" s="1"/>
  <c r="Z95" i="1" s="1"/>
  <c r="M111" i="1"/>
  <c r="O112" i="1"/>
  <c r="O107" i="1"/>
  <c r="X31" i="1"/>
  <c r="Z31" i="1" s="1"/>
</calcChain>
</file>

<file path=xl/sharedStrings.xml><?xml version="1.0" encoding="utf-8"?>
<sst xmlns="http://schemas.openxmlformats.org/spreadsheetml/2006/main" count="820" uniqueCount="388">
  <si>
    <t>EmployeeID</t>
  </si>
  <si>
    <t>EmployeeName</t>
  </si>
  <si>
    <t>Department</t>
  </si>
  <si>
    <t>Designation</t>
  </si>
  <si>
    <t>Gender</t>
  </si>
  <si>
    <t>DOB</t>
  </si>
  <si>
    <t>DOJ</t>
  </si>
  <si>
    <t>BasicPay</t>
  </si>
  <si>
    <t>HRA</t>
  </si>
  <si>
    <t>Allowance</t>
  </si>
  <si>
    <t>PFPct</t>
  </si>
  <si>
    <t>OtherDeduction</t>
  </si>
  <si>
    <t>EMP001</t>
  </si>
  <si>
    <t>Arun Kumar</t>
  </si>
  <si>
    <t>IT</t>
  </si>
  <si>
    <t>Analyst</t>
  </si>
  <si>
    <t>M</t>
  </si>
  <si>
    <t>Slab1</t>
  </si>
  <si>
    <t>EMP002</t>
  </si>
  <si>
    <t>Priya S</t>
  </si>
  <si>
    <t>HR</t>
  </si>
  <si>
    <t>Executive</t>
  </si>
  <si>
    <t>F</t>
  </si>
  <si>
    <t>Slab2</t>
  </si>
  <si>
    <t>EMP003</t>
  </si>
  <si>
    <t>Vikram Raj</t>
  </si>
  <si>
    <t>Finance</t>
  </si>
  <si>
    <t>Accountant</t>
  </si>
  <si>
    <t>EMP004</t>
  </si>
  <si>
    <t>Anita Sharma</t>
  </si>
  <si>
    <t>Sales</t>
  </si>
  <si>
    <t>Sales Executive</t>
  </si>
  <si>
    <t>EMP005</t>
  </si>
  <si>
    <t>Rohit Verma</t>
  </si>
  <si>
    <t>Operations</t>
  </si>
  <si>
    <t>Coordinator</t>
  </si>
  <si>
    <t>EMP006</t>
  </si>
  <si>
    <t>Sneha Iyer</t>
  </si>
  <si>
    <t>Support</t>
  </si>
  <si>
    <t>Support Engineer</t>
  </si>
  <si>
    <t>EMP007</t>
  </si>
  <si>
    <t>Karthik M</t>
  </si>
  <si>
    <t>Developer</t>
  </si>
  <si>
    <t>Slab3</t>
  </si>
  <si>
    <t>EMP008</t>
  </si>
  <si>
    <t>Meera Nair</t>
  </si>
  <si>
    <t>HR Analyst</t>
  </si>
  <si>
    <t>EMP009</t>
  </si>
  <si>
    <t>Sanjay P</t>
  </si>
  <si>
    <t>Senior Accountant</t>
  </si>
  <si>
    <t>EMP010</t>
  </si>
  <si>
    <t>Divya R</t>
  </si>
  <si>
    <t>EMP011</t>
  </si>
  <si>
    <t>Manoj T</t>
  </si>
  <si>
    <t>Supervisor</t>
  </si>
  <si>
    <t>EMP012</t>
  </si>
  <si>
    <t>Nandhini K</t>
  </si>
  <si>
    <t>Support Analyst</t>
  </si>
  <si>
    <t>EMP013</t>
  </si>
  <si>
    <t>Arvind S</t>
  </si>
  <si>
    <t>Senior Developer</t>
  </si>
  <si>
    <t>EMP014</t>
  </si>
  <si>
    <t>Lakshmi Devi</t>
  </si>
  <si>
    <t>Recruiter</t>
  </si>
  <si>
    <t>EMP015</t>
  </si>
  <si>
    <t>Harish G</t>
  </si>
  <si>
    <t>Finance Analyst</t>
  </si>
  <si>
    <t>EMP016</t>
  </si>
  <si>
    <t>Pooja S</t>
  </si>
  <si>
    <t>EMP017</t>
  </si>
  <si>
    <t>Ramesh B</t>
  </si>
  <si>
    <t>Operations Executive</t>
  </si>
  <si>
    <t>EMP018</t>
  </si>
  <si>
    <t>Keerthana M</t>
  </si>
  <si>
    <t>Customer Support</t>
  </si>
  <si>
    <t>EMP019</t>
  </si>
  <si>
    <t>Deepak J</t>
  </si>
  <si>
    <t>Data Engineer</t>
  </si>
  <si>
    <t>EMP020</t>
  </si>
  <si>
    <t>Aishwarya V</t>
  </si>
  <si>
    <t>HR Executive</t>
  </si>
  <si>
    <t>EMP021</t>
  </si>
  <si>
    <t>Prakash N</t>
  </si>
  <si>
    <t>Auditor</t>
  </si>
  <si>
    <t>EMP022</t>
  </si>
  <si>
    <t>Monica R</t>
  </si>
  <si>
    <t>Sales Officer</t>
  </si>
  <si>
    <t>EMP023</t>
  </si>
  <si>
    <t>Suresh K</t>
  </si>
  <si>
    <t>Team Lead</t>
  </si>
  <si>
    <t>EMP024</t>
  </si>
  <si>
    <t>Revathi P</t>
  </si>
  <si>
    <t>EMP025</t>
  </si>
  <si>
    <t>Vignesh A</t>
  </si>
  <si>
    <t>QA Analyst</t>
  </si>
  <si>
    <t>EMP026</t>
  </si>
  <si>
    <t>Sowmya L</t>
  </si>
  <si>
    <t>HR Assistant</t>
  </si>
  <si>
    <t>EMP027</t>
  </si>
  <si>
    <t>Balaji R</t>
  </si>
  <si>
    <t>Accounts Executive</t>
  </si>
  <si>
    <t>EMP028</t>
  </si>
  <si>
    <t>Anusha K</t>
  </si>
  <si>
    <t>Sales Coordinator</t>
  </si>
  <si>
    <t>EMP029</t>
  </si>
  <si>
    <t>Senthil M</t>
  </si>
  <si>
    <t>Process Associate</t>
  </si>
  <si>
    <t>EMP030</t>
  </si>
  <si>
    <t>Harini S</t>
  </si>
  <si>
    <t>Technical Support</t>
  </si>
  <si>
    <t>EMP031</t>
  </si>
  <si>
    <t>Arjun P</t>
  </si>
  <si>
    <t>Cloud Engineer</t>
  </si>
  <si>
    <t>EMP032</t>
  </si>
  <si>
    <t>Divya K</t>
  </si>
  <si>
    <t>HR Manager</t>
  </si>
  <si>
    <t>EMP033</t>
  </si>
  <si>
    <t>Pradeep S</t>
  </si>
  <si>
    <t>Senior Auditor</t>
  </si>
  <si>
    <t>EMP034</t>
  </si>
  <si>
    <t>Shalini R</t>
  </si>
  <si>
    <t>Sales Manager</t>
  </si>
  <si>
    <t>EMP035</t>
  </si>
  <si>
    <t>Gopal N</t>
  </si>
  <si>
    <t>Operations Manager</t>
  </si>
  <si>
    <t>EMP036</t>
  </si>
  <si>
    <t>Neha V</t>
  </si>
  <si>
    <t>Senior Support</t>
  </si>
  <si>
    <t>EMP037</t>
  </si>
  <si>
    <t>Harikrishnan M</t>
  </si>
  <si>
    <t>System Admin</t>
  </si>
  <si>
    <t>EMP038</t>
  </si>
  <si>
    <t>Swathi L</t>
  </si>
  <si>
    <t>Payroll Executive</t>
  </si>
  <si>
    <t>EMP039</t>
  </si>
  <si>
    <t>Naveen R</t>
  </si>
  <si>
    <t>Tax Analyst</t>
  </si>
  <si>
    <t>EMP040</t>
  </si>
  <si>
    <t>Janani P</t>
  </si>
  <si>
    <t>EMP041</t>
  </si>
  <si>
    <t>Sarath K</t>
  </si>
  <si>
    <t>Operations Analyst</t>
  </si>
  <si>
    <t>EMP042</t>
  </si>
  <si>
    <t>Preethi M</t>
  </si>
  <si>
    <t>Support Associate</t>
  </si>
  <si>
    <t>EMP043</t>
  </si>
  <si>
    <t>Vijay A</t>
  </si>
  <si>
    <t>Data Analyst</t>
  </si>
  <si>
    <t>EMP044</t>
  </si>
  <si>
    <t>Shreya D</t>
  </si>
  <si>
    <t>Talent Acquisition</t>
  </si>
  <si>
    <t>EMP045</t>
  </si>
  <si>
    <t>Murugan S</t>
  </si>
  <si>
    <t>EMP046</t>
  </si>
  <si>
    <t>Ritika P</t>
  </si>
  <si>
    <t>Account Manager</t>
  </si>
  <si>
    <t>EMP047</t>
  </si>
  <si>
    <t>Kannan R</t>
  </si>
  <si>
    <t>Shift Supervisor</t>
  </si>
  <si>
    <t>EMP048</t>
  </si>
  <si>
    <t>Anjali N</t>
  </si>
  <si>
    <t>Customer Success</t>
  </si>
  <si>
    <t>EMP049</t>
  </si>
  <si>
    <t>Sathish K</t>
  </si>
  <si>
    <t>Backend Developer</t>
  </si>
  <si>
    <t>EMP050</t>
  </si>
  <si>
    <t>Komala S</t>
  </si>
  <si>
    <t>HR Coordinator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</si>
  <si>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</si>
  <si>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</si>
  <si>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</si>
  <si>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</si>
  <si>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</si>
  <si>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</si>
  <si>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</si>
  <si>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</si>
  <si>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</si>
  <si>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</si>
  <si>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</si>
  <si>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</si>
  <si>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</si>
  <si>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</si>
  <si>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</si>
  <si>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</si>
  <si>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</si>
  <si>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</si>
  <si>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</si>
  <si>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</si>
  <si>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</si>
  <si>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</si>
  <si>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</si>
  <si>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</si>
  <si>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</si>
  <si>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</si>
  <si>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</si>
  <si>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</si>
  <si>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</si>
  <si>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</si>
  <si>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</si>
  <si>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</si>
  <si>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</si>
  <si>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</si>
  <si>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</si>
  <si>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</si>
  <si>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</si>
  <si>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</si>
  <si>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</si>
  <si>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</si>
  <si>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</si>
  <si>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</si>
  <si>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</si>
  <si>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</si>
  <si>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</si>
  <si>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</si>
  <si>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</si>
  <si>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</si>
  <si>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</si>
  <si>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</si>
  <si>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Bonus</t>
  </si>
  <si>
    <t>Column1</t>
  </si>
  <si>
    <t>Column2</t>
  </si>
  <si>
    <t>Gross Salary</t>
  </si>
  <si>
    <t>PF Deduction</t>
  </si>
  <si>
    <t>Net Salary</t>
  </si>
  <si>
    <t>Employee rating</t>
  </si>
  <si>
    <t>Attendance</t>
  </si>
  <si>
    <t>Expereince</t>
  </si>
  <si>
    <t>Dept ID</t>
  </si>
  <si>
    <t>D001</t>
  </si>
  <si>
    <t>D002</t>
  </si>
  <si>
    <t>D003</t>
  </si>
  <si>
    <t>D004</t>
  </si>
  <si>
    <t>D005</t>
  </si>
  <si>
    <t>D006</t>
  </si>
  <si>
    <t>DepartmentID</t>
  </si>
  <si>
    <t>emp001@abc.com</t>
  </si>
  <si>
    <t>emp002@abc.com</t>
  </si>
  <si>
    <t>emp003@abc.com</t>
  </si>
  <si>
    <t>Email ID</t>
  </si>
  <si>
    <t>emp004@abc.com</t>
  </si>
  <si>
    <t>emp005@abc.com</t>
  </si>
  <si>
    <t>emp006@abc.com</t>
  </si>
  <si>
    <t>emp007@abc.com</t>
  </si>
  <si>
    <t>emp008@abc.com</t>
  </si>
  <si>
    <t>emp009@abc.com</t>
  </si>
  <si>
    <t>emp010@abc.com</t>
  </si>
  <si>
    <t>emp011@abc.com</t>
  </si>
  <si>
    <t>emp012@abc.com</t>
  </si>
  <si>
    <t>emp013@abc.com</t>
  </si>
  <si>
    <t>emp014@abc.com</t>
  </si>
  <si>
    <t>emp015@abc.com</t>
  </si>
  <si>
    <t>emp016@abc.com</t>
  </si>
  <si>
    <t>emp017@abc.com</t>
  </si>
  <si>
    <t>emp018@abc.com</t>
  </si>
  <si>
    <t>emp019@abc.com</t>
  </si>
  <si>
    <t>emp020@abc.com</t>
  </si>
  <si>
    <t>emp021@abc.com</t>
  </si>
  <si>
    <t>emp022@abc.com</t>
  </si>
  <si>
    <t>emp023@abc.com</t>
  </si>
  <si>
    <t>emp024@abc.com</t>
  </si>
  <si>
    <t>emp025@abc.com</t>
  </si>
  <si>
    <t>emp026@abc.com</t>
  </si>
  <si>
    <t>emp027@abc.com</t>
  </si>
  <si>
    <t>emp028@abc.com</t>
  </si>
  <si>
    <t>emp029@abc.com</t>
  </si>
  <si>
    <t>emp030@abc.com</t>
  </si>
  <si>
    <t>emp031@abc.com</t>
  </si>
  <si>
    <t>emp032@abc.com</t>
  </si>
  <si>
    <t>emp033@abc.com</t>
  </si>
  <si>
    <t>emp034@abc.com</t>
  </si>
  <si>
    <t>emp035@abc.com</t>
  </si>
  <si>
    <t>emp036@abc.com</t>
  </si>
  <si>
    <t>emp037@abc.com</t>
  </si>
  <si>
    <t>emp038@abc.com</t>
  </si>
  <si>
    <t>emp039@abc.com</t>
  </si>
  <si>
    <t>emp040@abc.com</t>
  </si>
  <si>
    <t>emp041@abc.com</t>
  </si>
  <si>
    <t>emp042@abc.com</t>
  </si>
  <si>
    <t>emp043@abc.com</t>
  </si>
  <si>
    <t>emp044@abc.com</t>
  </si>
  <si>
    <t>emp045@abc.com</t>
  </si>
  <si>
    <t>emp046@abc.com</t>
  </si>
  <si>
    <t>emp047@abc.com</t>
  </si>
  <si>
    <t>emp048@abc.com</t>
  </si>
  <si>
    <t>emp049@abc.com</t>
  </si>
  <si>
    <t>emp050@abc.com</t>
  </si>
  <si>
    <t>emp051@abc.com</t>
  </si>
  <si>
    <t>emp052@abc.com</t>
  </si>
  <si>
    <t>emp053@abc.com</t>
  </si>
  <si>
    <t>emp054@abc.com</t>
  </si>
  <si>
    <t>emp055@abc.com</t>
  </si>
  <si>
    <t>emp056@abc.com</t>
  </si>
  <si>
    <t>emp057@abc.com</t>
  </si>
  <si>
    <t>emp058@abc.com</t>
  </si>
  <si>
    <t>emp059@abc.com</t>
  </si>
  <si>
    <t>emp060@abc.com</t>
  </si>
  <si>
    <t>emp061@abc.com</t>
  </si>
  <si>
    <t>emp062@abc.com</t>
  </si>
  <si>
    <t>emp063@abc.com</t>
  </si>
  <si>
    <t>emp064@abc.com</t>
  </si>
  <si>
    <t>emp065@abc.com</t>
  </si>
  <si>
    <t>emp066@abc.com</t>
  </si>
  <si>
    <t>emp067@abc.com</t>
  </si>
  <si>
    <t>emp068@abc.com</t>
  </si>
  <si>
    <t>emp069@abc.com</t>
  </si>
  <si>
    <t>emp070@abc.com</t>
  </si>
  <si>
    <t>emp071@abc.com</t>
  </si>
  <si>
    <t>emp072@abc.com</t>
  </si>
  <si>
    <t>emp073@abc.com</t>
  </si>
  <si>
    <t>emp074@abc.com</t>
  </si>
  <si>
    <t>emp075@abc.com</t>
  </si>
  <si>
    <t>emp076@abc.com</t>
  </si>
  <si>
    <t>emp077@abc.com</t>
  </si>
  <si>
    <t>emp078@abc.com</t>
  </si>
  <si>
    <t>emp079@abc.com</t>
  </si>
  <si>
    <t>emp080@abc.com</t>
  </si>
  <si>
    <t>emp081@abc.com</t>
  </si>
  <si>
    <t>emp082@abc.com</t>
  </si>
  <si>
    <t>emp083@abc.com</t>
  </si>
  <si>
    <t>emp084@abc.com</t>
  </si>
  <si>
    <t>emp085@abc.com</t>
  </si>
  <si>
    <t>emp086@abc.com</t>
  </si>
  <si>
    <t>emp087@abc.com</t>
  </si>
  <si>
    <t>emp088@abc.com</t>
  </si>
  <si>
    <t>emp089@abc.com</t>
  </si>
  <si>
    <t>emp090@abc.com</t>
  </si>
  <si>
    <t>emp091@abc.com</t>
  </si>
  <si>
    <t>emp092@abc.com</t>
  </si>
  <si>
    <t>emp093@abc.com</t>
  </si>
  <si>
    <t>emp094@abc.com</t>
  </si>
  <si>
    <t>emp095@abc.com</t>
  </si>
  <si>
    <t>emp096@abc.com</t>
  </si>
  <si>
    <t>emp097@abc.com</t>
  </si>
  <si>
    <t>emp098@abc.com</t>
  </si>
  <si>
    <t>emp099@abc.com</t>
  </si>
  <si>
    <t>emp100@abc.com</t>
  </si>
  <si>
    <t>Emp ID</t>
  </si>
  <si>
    <t>Name</t>
  </si>
  <si>
    <t>Tax %</t>
  </si>
  <si>
    <t>%</t>
  </si>
  <si>
    <t>Salary</t>
  </si>
  <si>
    <t>EmpID</t>
  </si>
  <si>
    <t>Gross salary</t>
  </si>
  <si>
    <t>Slab</t>
  </si>
  <si>
    <t>DEPT</t>
  </si>
  <si>
    <t>Marketing</t>
  </si>
  <si>
    <t>Data Validation</t>
  </si>
  <si>
    <t>Specialist</t>
  </si>
  <si>
    <t>Manager</t>
  </si>
  <si>
    <t>Dept</t>
  </si>
  <si>
    <t>Count</t>
  </si>
  <si>
    <t>Basic Salary</t>
  </si>
  <si>
    <t>PF</t>
  </si>
  <si>
    <t>Tax</t>
  </si>
  <si>
    <t>Emp Name</t>
  </si>
  <si>
    <t>Content</t>
  </si>
  <si>
    <t>Employee Details</t>
  </si>
  <si>
    <t>Row Labels</t>
  </si>
  <si>
    <t>Grand Total</t>
  </si>
  <si>
    <t>Sum of Gross Salary</t>
  </si>
  <si>
    <t>Count of Gross Salary</t>
  </si>
  <si>
    <t>Average of Gross Salary</t>
  </si>
  <si>
    <t>Total Employee</t>
  </si>
  <si>
    <t>Min of Salary</t>
  </si>
  <si>
    <t>Max of Salary</t>
  </si>
  <si>
    <t>Average Salary</t>
  </si>
  <si>
    <t>Total Salary</t>
  </si>
  <si>
    <t>Bonus Amount</t>
  </si>
  <si>
    <t>Tax amount</t>
  </si>
  <si>
    <t>Total Employees</t>
  </si>
  <si>
    <t>Lowest Paid Employee</t>
  </si>
  <si>
    <t>Highest Paid Employee</t>
  </si>
  <si>
    <t>Total Net Salary</t>
  </si>
  <si>
    <t>Total PF</t>
  </si>
  <si>
    <t>Total Tax</t>
  </si>
  <si>
    <t>Total Bonus</t>
  </si>
  <si>
    <t>Total Gross Salary</t>
  </si>
  <si>
    <t>15. Payroll search</t>
  </si>
  <si>
    <t>14. Dept wise average salary (AVGIFS)</t>
  </si>
  <si>
    <t>13. Countifs for &gt;50000 dept wise</t>
  </si>
  <si>
    <t>12. Dept wise salary (SUMIFS)</t>
  </si>
  <si>
    <t>9. INDEX, MATCH</t>
  </si>
  <si>
    <t>8. LOOKUP</t>
  </si>
  <si>
    <t>5. VLOOKUP</t>
  </si>
  <si>
    <t>1. Bonus</t>
  </si>
  <si>
    <t>2. Income Tax</t>
  </si>
  <si>
    <t>3. Performance Incentive</t>
  </si>
  <si>
    <t>4. Leave Bonus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</si>
</sst>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4" xfId="0" applyBorder="1"/>
    <xf numFmtId="0" fontId="0" fillId="0" borderId="13" xfId="0" applyBorder="1"/>
    <xf numFmtId="0" fontId="16" fillId="0" borderId="0" xfId="0" applyFont="1"/>
    <xf numFmtId="0" fontId="18" fillId="33" borderId="17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33" borderId="22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0" fillId="33" borderId="27" xfId="0" applyFill="1" applyBorder="1"/>
    <xf numFmtId="0" fontId="13" fillId="35" borderId="2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3" borderId="29" xfId="0" applyFill="1" applyBorder="1"/>
    <xf numFmtId="14" fontId="0" fillId="33" borderId="29" xfId="0" applyNumberFormat="1" applyFill="1" applyBorder="1"/>
    <xf numFmtId="2" fontId="0" fillId="33" borderId="29" xfId="0" applyNumberFormat="1" applyFill="1" applyBorder="1"/>
    <xf numFmtId="164" fontId="0" fillId="33" borderId="29" xfId="0" applyNumberFormat="1" applyFill="1" applyBorder="1"/>
    <xf numFmtId="0" fontId="0" fillId="0" borderId="29" xfId="0" applyBorder="1"/>
    <xf numFmtId="14" fontId="0" fillId="0" borderId="29" xfId="0" applyNumberFormat="1" applyBorder="1"/>
    <xf numFmtId="2" fontId="0" fillId="0" borderId="29" xfId="0" applyNumberFormat="1" applyBorder="1"/>
    <xf numFmtId="164" fontId="0" fillId="0" borderId="29" xfId="0" applyNumberFormat="1" applyBorder="1"/>
    <xf numFmtId="0" fontId="13" fillId="35" borderId="0" xfId="0" applyFont="1" applyFill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0" fillId="0" borderId="26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[Lingeshkumar - Excel Project.xlsx]Pivot!PivotTable2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Pivot!$A$17:$A$23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  <c:pt idx="5">
                  <c:v>Support</c:v>
                </c:pt>
              </c:strCache>
            </c:strRef>
          </c:cat>
          <c:val>
            <c:numRef>
              <c:f>Pivot!$B$17:$B$23</c:f>
              <c:numCache>
                <c:formatCode>General</c:formatCode>
                <c:ptCount val="6"/>
                <c:pt idx="0">
                  <c:v>1439000</c:v>
                </c:pt>
                <c:pt idx="1">
                  <c:v>1135400</c:v>
                </c:pt>
                <c:pt idx="2">
                  <c:v>1563000</c:v>
                </c:pt>
                <c:pt idx="3">
                  <c:v>1126000</c:v>
                </c:pt>
                <c:pt idx="4">
                  <c:v>919800</c:v>
                </c:pt>
                <c:pt idx="5">
                  <c:v>835800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8-4B01-A576-9E26B900E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735776"/>
        <c:axId val="383735416"/>
      </c:barChart>
      <c:catAx>
        <c:axId val="3837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35416"/>
        <c:crosses val="autoZero"/>
        <c:auto val="1"/>
        <c:lblAlgn val="ctr"/>
        <c:lblOffset val="100"/>
        <c:noMultiLvlLbl val="0"/>
      </c:catAx>
      <c:valAx>
        <c:axId val="38373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[Lingeshkumar - Excel Project.xlsx]Salary Dashboard!PivotTable9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Dashboard'!$B$8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Dashboard'!$A$9:$A$15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  <c:pt idx="5">
                  <c:v>Support</c:v>
                </c:pt>
              </c:strCache>
            </c:strRef>
          </c:cat>
          <c:val>
            <c:numRef>
              <c:f>'Salary Dashboard'!$B$9:$B$15</c:f>
              <c:numCache>
                <c:formatCode>General</c:formatCode>
                <c:ptCount val="6"/>
                <c:pt idx="0">
                  <c:v>1439000</c:v>
                </c:pt>
                <c:pt idx="1">
                  <c:v>1135400</c:v>
                </c:pt>
                <c:pt idx="2">
                  <c:v>1563000</c:v>
                </c:pt>
                <c:pt idx="3">
                  <c:v>1126000</c:v>
                </c:pt>
                <c:pt idx="4">
                  <c:v>919800</c:v>
                </c:pt>
                <c:pt idx="5">
                  <c:v>835800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34C-A33B-57143382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318992"/>
        <c:axId val="527317192"/>
      </c:barChart>
      <c:catAx>
        <c:axId val="5273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17192"/>
        <c:crosses val="autoZero"/>
        <c:auto val="1"/>
        <c:lblAlgn val="ctr"/>
        <c:lblOffset val="100"/>
        <c:noMultiLvlLbl val="0"/>
      </c:catAx>
      <c:valAx>
        <c:axId val="52731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[Lingeshkumar - Excel Project.xlsx]Salary Dashboard!PivotTable10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Dashboard'!$H$8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Dashboard'!$G$9:$G$15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  <c:pt idx="5">
                  <c:v>Support</c:v>
                </c:pt>
              </c:strCache>
            </c:strRef>
          </c:cat>
          <c:val>
            <c:numRef>
              <c:f>'Salary Dashboard'!$H$9:$H$15</c:f>
              <c:numCache>
                <c:formatCode>General</c:formatCode>
                <c:ptCount val="6"/>
                <c:pt idx="0">
                  <c:v>16</c:v>
                </c:pt>
                <c:pt idx="1">
                  <c:v>18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9-4793-893D-3874D78F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321512"/>
        <c:axId val="527321872"/>
      </c:barChart>
      <c:catAx>
        <c:axId val="52732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1872"/>
        <c:crosses val="autoZero"/>
        <c:auto val="1"/>
        <c:lblAlgn val="ctr"/>
        <c:lblOffset val="100"/>
        <c:noMultiLvlLbl val="0"/>
      </c:catAx>
      <c:valAx>
        <c:axId val="5273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13</xdr:row>
      <xdr:rowOff>19050</xdr:rowOff>
    </xdr:from>
    <xdr:to>
      <xdr:col>8</xdr:col>
      <xdr:colOff>419100</xdr:colOff>
      <xdr:row>28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A3AB1-3899-560D-812A-8E52EAF5B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17</xdr:row>
      <xdr:rowOff>133350</xdr:rowOff>
    </xdr:from>
    <xdr:to>
      <xdr:col>4</xdr:col>
      <xdr:colOff>350520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3DF124-27CA-79C9-C408-547519D74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1082040</xdr:colOff>
      <xdr:row>17</xdr:row>
      <xdr:rowOff>125730</xdr:rowOff>
    </xdr:from>
    <xdr:to>
      <xdr:col>11</xdr:col>
      <xdr:colOff>198120</xdr:colOff>
      <xdr:row>32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5F0817-061D-71A3-AEFA-F9FF9AA4E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eshkumar Vadivel" refreshedDate="46227.95476458333" createdVersion="8" refreshedVersion="8" minRefreshableVersion="3" recordCount="100" xr:uid="{3FED06F3-24F1-4B45-AEE3-14F417BCB831}">
  <cacheSource type="worksheet">
    <worksheetSource ref="A2:Z102" sheet="Employee data"/>
  </cacheSource>
  <cacheFields count="26">
    <cacheField name="EmployeeID" numFmtId="0">
      <sharedItems count="1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</sharedItems>
    </cacheField>
    <cacheField name="EmployeeName" numFmtId="0">
      <sharedItems/>
    </cacheField>
    <cacheField name="DepartmentID" numFmtId="0">
      <sharedItems count="6">
        <s v="D001"/>
        <s v="D002"/>
        <s v="D003"/>
        <s v="D004"/>
        <s v="D005"/>
        <s v="D006"/>
      </sharedItems>
    </cacheField>
    <cacheField name="Designation" numFmtId="0">
      <sharedItems/>
    </cacheField>
    <cacheField name="Gender" numFmtId="0">
      <sharedItems/>
    </cacheField>
    <cacheField name="DOB" numFmtId="14">
      <sharedItems containsSemiMixedTypes="0" containsNonDate="0" containsDate="1" containsString="0" minDate="1987-10-10T00:00:00" maxDate="1998-11-29T00:00:00"/>
    </cacheField>
    <cacheField name="DOJ" numFmtId="14">
      <sharedItems containsSemiMixedTypes="0" containsNonDate="0" containsDate="1" containsString="0" minDate="2013-09-02T00:00:00" maxDate="2023-05-16T00:00:00"/>
    </cacheField>
    <cacheField name="Expereince" numFmtId="2">
      <sharedItems containsSemiMixedTypes="0" containsString="0" containsNumber="1" minValue="3.19" maxValue="12.89"/>
    </cacheField>
    <cacheField name="BasicPay" numFmtId="0">
      <sharedItems containsSemiMixedTypes="0" containsString="0" containsNumber="1" containsInteger="1" minValue="29000" maxValue="80000"/>
    </cacheField>
    <cacheField name="HRA" numFmtId="0">
      <sharedItems containsSemiMixedTypes="0" containsString="0" containsNumber="1" containsInteger="1" minValue="9500" maxValue="28000"/>
    </cacheField>
    <cacheField name="Allowance" numFmtId="0">
      <sharedItems containsSemiMixedTypes="0" containsString="0" containsNumber="1" containsInteger="1" minValue="3500" maxValue="15000"/>
    </cacheField>
    <cacheField name="PFPct" numFmtId="0">
      <sharedItems containsSemiMixedTypes="0" containsString="0" containsNumber="1" containsInteger="1" minValue="12" maxValue="12"/>
    </cacheField>
    <cacheField name="OtherDeduction" numFmtId="0">
      <sharedItems containsSemiMixedTypes="0" containsString="0" containsNumber="1" containsInteger="1" minValue="700" maxValue="3500"/>
    </cacheField>
    <cacheField name="Gross Salary" numFmtId="0">
      <sharedItems containsSemiMixedTypes="0" containsString="0" containsNumber="1" containsInteger="1" minValue="42000" maxValue="123000"/>
    </cacheField>
    <cacheField name="PF Deduction" numFmtId="164">
      <sharedItems containsSemiMixedTypes="0" containsString="0" containsNumber="1" minValue="2416.6666666666665" maxValue="6666.666666666667"/>
    </cacheField>
    <cacheField name="Income Tax" numFmtId="2">
      <sharedItems containsSemiMixedTypes="0" containsString="0" containsNumber="1" minValue="0.05" maxValue="0.2"/>
    </cacheField>
    <cacheField name="Net Salary" numFmtId="164">
      <sharedItems containsSemiMixedTypes="0" containsString="0" containsNumber="1" minValue="38878.333333333336" maxValue="117813.33333333333"/>
    </cacheField>
    <cacheField name="Bonus" numFmtId="0">
      <sharedItems/>
    </cacheField>
    <cacheField name="Employee rating" numFmtId="0">
      <sharedItems containsSemiMixedTypes="0" containsString="0" containsNumber="1" minValue="3.2" maxValue="4.9000000000000004"/>
    </cacheField>
    <cacheField name="Attendance" numFmtId="0">
      <sharedItems containsSemiMixedTypes="0" containsString="0" containsNumber="1" containsInteger="1" minValue="88" maxValue="99"/>
    </cacheField>
    <cacheField name="Performance Incentive" numFmtId="0">
      <sharedItems containsSemiMixedTypes="0" containsString="0" containsNumber="1" containsInteger="1" minValue="0" maxValue="5000"/>
    </cacheField>
    <cacheField name="Leave Bonus Eligibility" numFmtId="0">
      <sharedItems/>
    </cacheField>
    <cacheField name="Department" numFmtId="0">
      <sharedItems count="6">
        <s v="IT"/>
        <s v="HR"/>
        <s v="Finance"/>
        <s v="Sales"/>
        <s v="Operations"/>
        <s v="Support"/>
      </sharedItems>
    </cacheField>
    <cacheField name="Email ID" numFmtId="0">
      <sharedItems/>
    </cacheField>
    <cacheField name="Column2" numFmtId="0">
      <sharedItems containsNonDate="0" containsString="0" containsBlank="1"/>
    </cacheField>
    <cacheField name="Column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eshkumar Vadivel" refreshedDate="46227.979120023148" createdVersion="8" refreshedVersion="8" minRefreshableVersion="3" recordCount="100" xr:uid="{8ED10DC7-BD9B-4A2F-A2EC-8C39BD4FC770}">
  <cacheSource type="worksheet">
    <worksheetSource name="Table9"/>
  </cacheSource>
  <cacheFields count="26">
    <cacheField name="EmployeeID" numFmtId="0">
      <sharedItems count="1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</sharedItems>
    </cacheField>
    <cacheField name="EmployeeName" numFmtId="0">
      <sharedItems/>
    </cacheField>
    <cacheField name="DepartmentID" numFmtId="0">
      <sharedItems/>
    </cacheField>
    <cacheField name="Designation" numFmtId="0">
      <sharedItems/>
    </cacheField>
    <cacheField name="Gender" numFmtId="0">
      <sharedItems/>
    </cacheField>
    <cacheField name="DOB" numFmtId="14">
      <sharedItems containsSemiMixedTypes="0" containsNonDate="0" containsDate="1" containsString="0" minDate="1987-10-10T00:00:00" maxDate="1998-11-29T00:00:00"/>
    </cacheField>
    <cacheField name="DOJ" numFmtId="14">
      <sharedItems containsSemiMixedTypes="0" containsNonDate="0" containsDate="1" containsString="0" minDate="2013-09-02T00:00:00" maxDate="2023-05-16T00:00:00"/>
    </cacheField>
    <cacheField name="Department" numFmtId="0">
      <sharedItems/>
    </cacheField>
    <cacheField name="Email ID" numFmtId="0">
      <sharedItems/>
    </cacheField>
    <cacheField name="Expereince" numFmtId="2">
      <sharedItems containsSemiMixedTypes="0" containsString="0" containsNumber="1" minValue="3.19" maxValue="12.89"/>
    </cacheField>
    <cacheField name="Employee rating" numFmtId="0">
      <sharedItems containsSemiMixedTypes="0" containsString="0" containsNumber="1" minValue="3.2" maxValue="4.9000000000000004"/>
    </cacheField>
    <cacheField name="Attendance" numFmtId="0">
      <sharedItems containsSemiMixedTypes="0" containsString="0" containsNumber="1" containsInteger="1" minValue="88" maxValue="99"/>
    </cacheField>
    <cacheField name="BasicPay" numFmtId="0">
      <sharedItems containsSemiMixedTypes="0" containsString="0" containsNumber="1" containsInteger="1" minValue="29000" maxValue="80000"/>
    </cacheField>
    <cacheField name="HRA" numFmtId="0">
      <sharedItems containsSemiMixedTypes="0" containsString="0" containsNumber="1" containsInteger="1" minValue="9500" maxValue="28000"/>
    </cacheField>
    <cacheField name="Allowance" numFmtId="0">
      <sharedItems containsSemiMixedTypes="0" containsString="0" containsNumber="1" containsInteger="1" minValue="3500" maxValue="15000"/>
    </cacheField>
    <cacheField name="Bonus" numFmtId="0">
      <sharedItems/>
    </cacheField>
    <cacheField name="Bonus Amount" numFmtId="0">
      <sharedItems containsSemiMixedTypes="0" containsString="0" containsNumber="1" containsInteger="1" minValue="1450" maxValue="8000"/>
    </cacheField>
    <cacheField name="Performance Incentive" numFmtId="0">
      <sharedItems containsSemiMixedTypes="0" containsString="0" containsNumber="1" containsInteger="1" minValue="0" maxValue="5000"/>
    </cacheField>
    <cacheField name="Gross Salary" numFmtId="0">
      <sharedItems containsSemiMixedTypes="0" containsString="0" containsNumber="1" containsInteger="1" minValue="43450" maxValue="136000"/>
    </cacheField>
    <cacheField name="PFPct" numFmtId="0">
      <sharedItems containsSemiMixedTypes="0" containsString="0" containsNumber="1" containsInteger="1" minValue="12" maxValue="12"/>
    </cacheField>
    <cacheField name="PF Deduction" numFmtId="164">
      <sharedItems containsSemiMixedTypes="0" containsString="0" containsNumber="1" minValue="2416.6666666666665" maxValue="6666.666666666667"/>
    </cacheField>
    <cacheField name="OtherDeduction" numFmtId="0">
      <sharedItems containsSemiMixedTypes="0" containsString="0" containsNumber="1" containsInteger="1" minValue="700" maxValue="3500"/>
    </cacheField>
    <cacheField name="Income Tax" numFmtId="2">
      <sharedItems containsSemiMixedTypes="0" containsString="0" containsNumber="1" minValue="0.05" maxValue="0.2"/>
    </cacheField>
    <cacheField name="Tax amount" numFmtId="2">
      <sharedItems containsSemiMixedTypes="0" containsString="0" containsNumber="1" minValue="2172.5" maxValue="27200"/>
    </cacheField>
    <cacheField name="Leave Bonus Eligibility" numFmtId="0">
      <sharedItems/>
    </cacheField>
    <cacheField name="Net Salary" numFmtId="2">
      <sharedItems containsSemiMixedTypes="0" containsString="0" containsNumber="1" minValue="38160.833333333336" maxValue="98633.333333333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run Kumar"/>
    <x v="0"/>
    <s v="Analyst"/>
    <s v="M"/>
    <d v="1995-04-12T00:00:00"/>
    <d v="2021-06-14T00:00:00"/>
    <n v="5.1100000000000003"/>
    <n v="35000"/>
    <n v="12000"/>
    <n v="5000"/>
    <n v="12"/>
    <n v="1000"/>
    <n v="52000"/>
    <n v="2916.6666666666665"/>
    <n v="0.1"/>
    <n v="53073.333333333336"/>
    <s v="5%"/>
    <n v="4.2"/>
    <n v="96"/>
    <n v="5000"/>
    <s v="Eligible"/>
    <x v="0"/>
    <s v="emp001@abc.com"/>
    <m/>
    <m/>
  </r>
  <r>
    <x v="1"/>
    <s v="Priya S"/>
    <x v="1"/>
    <s v="Executive"/>
    <s v="F"/>
    <d v="1994-09-18T00:00:00"/>
    <d v="2020-03-22T00:00:00"/>
    <n v="6.34"/>
    <n v="42000"/>
    <n v="15000"/>
    <n v="6000"/>
    <n v="12"/>
    <n v="1200"/>
    <n v="63000"/>
    <n v="3500"/>
    <n v="0.1"/>
    <n v="58290"/>
    <s v="5%"/>
    <n v="3.8"/>
    <n v="94"/>
    <n v="0"/>
    <s v="Eligible"/>
    <x v="1"/>
    <s v="emp002@abc.com"/>
    <m/>
    <m/>
  </r>
  <r>
    <x v="2"/>
    <s v="Vikram Raj"/>
    <x v="2"/>
    <s v="Accountant"/>
    <s v="M"/>
    <d v="1992-07-03T00:00:00"/>
    <d v="2019-11-10T00:00:00"/>
    <n v="6.71"/>
    <n v="48000"/>
    <n v="16000"/>
    <n v="7000"/>
    <n v="12"/>
    <n v="1500"/>
    <n v="71000"/>
    <n v="4000"/>
    <n v="0.1"/>
    <n v="70490"/>
    <s v="5%"/>
    <n v="4.5999999999999996"/>
    <n v="98"/>
    <n v="5000"/>
    <s v="Eligible"/>
    <x v="2"/>
    <s v="emp003@abc.com"/>
    <m/>
    <m/>
  </r>
  <r>
    <x v="3"/>
    <s v="Anita Sharma"/>
    <x v="3"/>
    <s v="Sales Executive"/>
    <s v="F"/>
    <d v="1996-02-21T00:00:00"/>
    <d v="2022-01-05T00:00:00"/>
    <n v="4.55"/>
    <n v="30000"/>
    <n v="10000"/>
    <n v="4000"/>
    <n v="12"/>
    <n v="800"/>
    <n v="44000"/>
    <n v="2500"/>
    <n v="0.05"/>
    <n v="40695"/>
    <s v="5%"/>
    <n v="3.4"/>
    <n v="91"/>
    <n v="0"/>
    <s v="Not Eligible"/>
    <x v="3"/>
    <s v="emp004@abc.com"/>
    <m/>
    <m/>
  </r>
  <r>
    <x v="4"/>
    <s v="Rohit Verma"/>
    <x v="4"/>
    <s v="Coordinator"/>
    <s v="M"/>
    <d v="1993-12-30T00:00:00"/>
    <d v="2018-08-19T00:00:00"/>
    <n v="7.93"/>
    <n v="39000"/>
    <n v="13000"/>
    <n v="5500"/>
    <n v="12"/>
    <n v="1100"/>
    <n v="57500"/>
    <n v="3250"/>
    <n v="0.1"/>
    <n v="58140"/>
    <s v="5%"/>
    <n v="4"/>
    <n v="95"/>
    <n v="5000"/>
    <s v="Eligible"/>
    <x v="4"/>
    <s v="emp005@abc.com"/>
    <m/>
    <m/>
  </r>
  <r>
    <x v="5"/>
    <s v="Sneha Iyer"/>
    <x v="5"/>
    <s v="Support Engineer"/>
    <s v="F"/>
    <d v="1995-05-14T00:00:00"/>
    <d v="2021-04-12T00:00:00"/>
    <n v="5.28"/>
    <n v="36000"/>
    <n v="12500"/>
    <n v="5000"/>
    <n v="12"/>
    <n v="900"/>
    <n v="53500"/>
    <n v="3000"/>
    <n v="0.1"/>
    <n v="49590"/>
    <s v="5%"/>
    <n v="3.9"/>
    <n v="93"/>
    <n v="0"/>
    <s v="Eligible"/>
    <x v="5"/>
    <s v="emp006@abc.com"/>
    <m/>
    <m/>
  </r>
  <r>
    <x v="6"/>
    <s v="Karthik M"/>
    <x v="0"/>
    <s v="Developer"/>
    <s v="M"/>
    <d v="1991-10-25T00:00:00"/>
    <d v="2017-07-01T00:00:00"/>
    <n v="9.06"/>
    <n v="55000"/>
    <n v="18000"/>
    <n v="9000"/>
    <n v="12"/>
    <n v="2000"/>
    <n v="82000"/>
    <n v="4583.333333333333"/>
    <n v="0.2"/>
    <n v="80396.666666666672"/>
    <s v="10%"/>
    <n v="4.8"/>
    <n v="99"/>
    <n v="5000"/>
    <s v="Eligible"/>
    <x v="0"/>
    <s v="emp007@abc.com"/>
    <m/>
    <m/>
  </r>
  <r>
    <x v="7"/>
    <s v="Meera Nair"/>
    <x v="1"/>
    <s v="HR Analyst"/>
    <s v="F"/>
    <d v="1997-01-09T00:00:00"/>
    <d v="2023-02-13T00:00:00"/>
    <n v="3.45"/>
    <n v="38000"/>
    <n v="14000"/>
    <n v="4500"/>
    <n v="12"/>
    <n v="1000"/>
    <n v="56500"/>
    <n v="3166.6666666666665"/>
    <n v="0.1"/>
    <n v="52323.333333333336"/>
    <s v="5%"/>
    <n v="3.7"/>
    <n v="92"/>
    <n v="0"/>
    <s v="Not Eligible"/>
    <x v="1"/>
    <s v="emp008@abc.com"/>
    <m/>
    <m/>
  </r>
  <r>
    <x v="8"/>
    <s v="Sanjay P"/>
    <x v="2"/>
    <s v="Senior Accountant"/>
    <s v="M"/>
    <d v="1990-06-17T00:00:00"/>
    <d v="2016-09-26T00:00:00"/>
    <n v="9.83"/>
    <n v="62000"/>
    <n v="20000"/>
    <n v="10000"/>
    <n v="12"/>
    <n v="2500"/>
    <n v="92000"/>
    <n v="5166.666666666667"/>
    <n v="0.2"/>
    <n v="89313.333333333328"/>
    <s v="10%"/>
    <n v="4.9000000000000004"/>
    <n v="97"/>
    <n v="5000"/>
    <s v="Eligible"/>
    <x v="2"/>
    <s v="emp009@abc.com"/>
    <m/>
    <m/>
  </r>
  <r>
    <x v="9"/>
    <s v="Divya R"/>
    <x v="3"/>
    <s v="Sales Executive"/>
    <s v="F"/>
    <d v="1998-11-28T00:00:00"/>
    <d v="2022-06-20T00:00:00"/>
    <n v="4.09"/>
    <n v="31000"/>
    <n v="10500"/>
    <n v="4000"/>
    <n v="12"/>
    <n v="850"/>
    <n v="45500"/>
    <n v="2583.3333333333335"/>
    <n v="0.05"/>
    <n v="42061.666666666664"/>
    <s v="5%"/>
    <n v="3.5"/>
    <n v="90"/>
    <n v="0"/>
    <s v="Not Eligible"/>
    <x v="3"/>
    <s v="emp010@abc.com"/>
    <m/>
    <m/>
  </r>
  <r>
    <x v="10"/>
    <s v="Manoj T"/>
    <x v="4"/>
    <s v="Supervisor"/>
    <s v="M"/>
    <d v="1992-03-14T00:00:00"/>
    <d v="2019-02-11T00:00:00"/>
    <n v="7.45"/>
    <n v="46000"/>
    <n v="15500"/>
    <n v="6500"/>
    <n v="12"/>
    <n v="1300"/>
    <n v="68000"/>
    <n v="3833.3333333333335"/>
    <n v="0.1"/>
    <n v="67856.666666666657"/>
    <s v="5%"/>
    <n v="4.0999999999999996"/>
    <n v="95"/>
    <n v="5000"/>
    <s v="Eligible"/>
    <x v="4"/>
    <s v="emp011@abc.com"/>
    <m/>
    <m/>
  </r>
  <r>
    <x v="11"/>
    <s v="Nandhini K"/>
    <x v="5"/>
    <s v="Support Analyst"/>
    <s v="F"/>
    <d v="1996-08-19T00:00:00"/>
    <d v="2021-09-06T00:00:00"/>
    <n v="4.88"/>
    <n v="34000"/>
    <n v="11500"/>
    <n v="4800"/>
    <n v="12"/>
    <n v="900"/>
    <n v="50300"/>
    <n v="2833.3333333333335"/>
    <n v="0.1"/>
    <n v="46556.666666666664"/>
    <s v="5%"/>
    <n v="3.6"/>
    <n v="92"/>
    <n v="0"/>
    <s v="Not Eligible"/>
    <x v="5"/>
    <s v="emp012@abc.com"/>
    <m/>
    <m/>
  </r>
  <r>
    <x v="12"/>
    <s v="Arvind S"/>
    <x v="0"/>
    <s v="Senior Developer"/>
    <s v="M"/>
    <d v="1989-12-11T00:00:00"/>
    <d v="2015-04-27T00:00:00"/>
    <n v="11.24"/>
    <n v="70000"/>
    <n v="25000"/>
    <n v="12000"/>
    <n v="12"/>
    <n v="3000"/>
    <n v="107000"/>
    <n v="5833.333333333333"/>
    <n v="0.2"/>
    <n v="103146.66666666667"/>
    <s v="10%"/>
    <n v="4.7"/>
    <n v="98"/>
    <n v="5000"/>
    <s v="Eligible"/>
    <x v="0"/>
    <s v="emp013@abc.com"/>
    <m/>
    <m/>
  </r>
  <r>
    <x v="13"/>
    <s v="Lakshmi Devi"/>
    <x v="1"/>
    <s v="Recruiter"/>
    <s v="F"/>
    <d v="1994-04-05T00:00:00"/>
    <d v="2020-10-15T00:00:00"/>
    <n v="5.78"/>
    <n v="40000"/>
    <n v="14000"/>
    <n v="5500"/>
    <n v="12"/>
    <n v="1100"/>
    <n v="59500"/>
    <n v="3333.3333333333335"/>
    <n v="0.1"/>
    <n v="55056.666666666664"/>
    <s v="5%"/>
    <n v="3.8"/>
    <n v="94"/>
    <n v="0"/>
    <s v="Eligible"/>
    <x v="1"/>
    <s v="emp014@abc.com"/>
    <m/>
    <m/>
  </r>
  <r>
    <x v="14"/>
    <s v="Harish G"/>
    <x v="2"/>
    <s v="Finance Analyst"/>
    <s v="M"/>
    <d v="1993-09-22T00:00:00"/>
    <d v="2018-12-03T00:00:00"/>
    <n v="7.64"/>
    <n v="52000"/>
    <n v="17000"/>
    <n v="8000"/>
    <n v="12"/>
    <n v="1800"/>
    <n v="77000"/>
    <n v="4333.333333333333"/>
    <n v="0.1"/>
    <n v="75856.666666666672"/>
    <s v="10%"/>
    <n v="4.5"/>
    <n v="96"/>
    <n v="5000"/>
    <s v="Eligible"/>
    <x v="2"/>
    <s v="emp015@abc.com"/>
    <m/>
    <m/>
  </r>
  <r>
    <x v="15"/>
    <s v="Pooja S"/>
    <x v="3"/>
    <s v="Sales Executive"/>
    <s v="F"/>
    <d v="1997-07-07T00:00:00"/>
    <d v="2023-01-16T00:00:00"/>
    <n v="3.52"/>
    <n v="32000"/>
    <n v="11000"/>
    <n v="4200"/>
    <n v="12"/>
    <n v="900"/>
    <n v="47200"/>
    <n v="2666.6666666666665"/>
    <n v="0.05"/>
    <n v="43628.333333333336"/>
    <s v="5%"/>
    <n v="3.3"/>
    <n v="89"/>
    <n v="0"/>
    <s v="Not Eligible"/>
    <x v="3"/>
    <s v="emp016@abc.com"/>
    <m/>
    <m/>
  </r>
  <r>
    <x v="16"/>
    <s v="Ramesh B"/>
    <x v="4"/>
    <s v="Operations Executive"/>
    <s v="M"/>
    <d v="1991-05-30T00:00:00"/>
    <d v="2017-10-09T00:00:00"/>
    <n v="8.7899999999999991"/>
    <n v="43000"/>
    <n v="14500"/>
    <n v="6000"/>
    <n v="12"/>
    <n v="1200"/>
    <n v="63500"/>
    <n v="3583.3333333333335"/>
    <n v="0.1"/>
    <n v="63706.666666666664"/>
    <s v="5%"/>
    <n v="4"/>
    <n v="95"/>
    <n v="5000"/>
    <s v="Eligible"/>
    <x v="4"/>
    <s v="emp017@abc.com"/>
    <m/>
    <m/>
  </r>
  <r>
    <x v="17"/>
    <s v="Keerthana M"/>
    <x v="5"/>
    <s v="Customer Support"/>
    <s v="F"/>
    <d v="1998-03-23T00:00:00"/>
    <d v="2022-04-18T00:00:00"/>
    <n v="4.2699999999999996"/>
    <n v="33000"/>
    <n v="11200"/>
    <n v="4500"/>
    <n v="12"/>
    <n v="850"/>
    <n v="48700"/>
    <n v="2750"/>
    <n v="0.05"/>
    <n v="45095"/>
    <s v="5%"/>
    <n v="3.7"/>
    <n v="93"/>
    <n v="0"/>
    <s v="Not Eligible"/>
    <x v="5"/>
    <s v="emp018@abc.com"/>
    <m/>
    <m/>
  </r>
  <r>
    <x v="18"/>
    <s v="Deepak J"/>
    <x v="0"/>
    <s v="Data Engineer"/>
    <s v="M"/>
    <d v="1990-01-13T00:00:00"/>
    <d v="2016-06-24T00:00:00"/>
    <n v="10.08"/>
    <n v="68000"/>
    <n v="23000"/>
    <n v="11000"/>
    <n v="12"/>
    <n v="2800"/>
    <n v="102000"/>
    <n v="5666.666666666667"/>
    <n v="0.2"/>
    <n v="98513.333333333328"/>
    <s v="10%"/>
    <n v="4.8"/>
    <n v="99"/>
    <n v="5000"/>
    <s v="Eligible"/>
    <x v="0"/>
    <s v="emp019@abc.com"/>
    <m/>
    <m/>
  </r>
  <r>
    <x v="19"/>
    <s v="Aishwarya V"/>
    <x v="1"/>
    <s v="HR Executive"/>
    <s v="F"/>
    <d v="1995-10-08T00:00:00"/>
    <d v="2021-08-30T00:00:00"/>
    <n v="4.9000000000000004"/>
    <n v="41000"/>
    <n v="14500"/>
    <n v="5800"/>
    <n v="12"/>
    <n v="1000"/>
    <n v="61300"/>
    <n v="3416.6666666666665"/>
    <n v="0.1"/>
    <n v="56873.333333333336"/>
    <s v="5%"/>
    <n v="3.9"/>
    <n v="91"/>
    <n v="0"/>
    <s v="Not Eligible"/>
    <x v="1"/>
    <s v="emp020@abc.com"/>
    <m/>
    <m/>
  </r>
  <r>
    <x v="20"/>
    <s v="Prakash N"/>
    <x v="2"/>
    <s v="Auditor"/>
    <s v="M"/>
    <d v="1988-02-16T00:00:00"/>
    <d v="2014-11-12T00:00:00"/>
    <n v="11.7"/>
    <n v="75000"/>
    <n v="26000"/>
    <n v="13000"/>
    <n v="12"/>
    <n v="3200"/>
    <n v="114000"/>
    <n v="6250"/>
    <n v="0.2"/>
    <n v="109530"/>
    <s v="10%"/>
    <n v="4.9000000000000004"/>
    <n v="97"/>
    <n v="5000"/>
    <s v="Eligible"/>
    <x v="2"/>
    <s v="emp021@abc.com"/>
    <m/>
    <m/>
  </r>
  <r>
    <x v="21"/>
    <s v="Monica R"/>
    <x v="3"/>
    <s v="Sales Officer"/>
    <s v="F"/>
    <d v="1994-06-29T00:00:00"/>
    <d v="2020-05-25T00:00:00"/>
    <n v="6.16"/>
    <n v="36000"/>
    <n v="12000"/>
    <n v="5000"/>
    <n v="12"/>
    <n v="950"/>
    <n v="53000"/>
    <n v="3000"/>
    <n v="0.1"/>
    <n v="49040"/>
    <s v="5%"/>
    <n v="3.6"/>
    <n v="92"/>
    <n v="0"/>
    <s v="Eligible"/>
    <x v="3"/>
    <s v="emp022@abc.com"/>
    <m/>
    <m/>
  </r>
  <r>
    <x v="22"/>
    <s v="Suresh K"/>
    <x v="4"/>
    <s v="Team Lead"/>
    <s v="M"/>
    <d v="1992-09-15T00:00:00"/>
    <d v="2019-07-08T00:00:00"/>
    <n v="7.04"/>
    <n v="54000"/>
    <n v="18000"/>
    <n v="8500"/>
    <n v="12"/>
    <n v="1700"/>
    <n v="80500"/>
    <n v="4500"/>
    <n v="0.2"/>
    <n v="79280"/>
    <s v="10%"/>
    <n v="4.4000000000000004"/>
    <n v="96"/>
    <n v="5000"/>
    <s v="Eligible"/>
    <x v="4"/>
    <s v="emp023@abc.com"/>
    <m/>
    <m/>
  </r>
  <r>
    <x v="23"/>
    <s v="Revathi P"/>
    <x v="5"/>
    <s v="Support Engineer"/>
    <s v="F"/>
    <d v="1996-12-02T00:00:00"/>
    <d v="2022-09-12T00:00:00"/>
    <n v="3.87"/>
    <n v="35000"/>
    <n v="12000"/>
    <n v="5000"/>
    <n v="12"/>
    <n v="900"/>
    <n v="52000"/>
    <n v="2916.6666666666665"/>
    <n v="0.1"/>
    <n v="48173.333333333336"/>
    <s v="5%"/>
    <n v="3.5"/>
    <n v="90"/>
    <n v="0"/>
    <s v="Not Eligible"/>
    <x v="5"/>
    <s v="emp024@abc.com"/>
    <m/>
    <m/>
  </r>
  <r>
    <x v="24"/>
    <s v="Vignesh A"/>
    <x v="0"/>
    <s v="QA Analyst"/>
    <s v="M"/>
    <d v="1993-11-20T00:00:00"/>
    <d v="2018-03-19T00:00:00"/>
    <n v="8.35"/>
    <n v="47000"/>
    <n v="16000"/>
    <n v="7000"/>
    <n v="12"/>
    <n v="1500"/>
    <n v="70000"/>
    <n v="3916.6666666666665"/>
    <n v="0.1"/>
    <n v="64573.333333333328"/>
    <s v="5%"/>
    <n v="4.3"/>
    <n v="94"/>
    <n v="0"/>
    <s v="Eligible"/>
    <x v="0"/>
    <s v="emp025@abc.com"/>
    <m/>
    <m/>
  </r>
  <r>
    <x v="25"/>
    <s v="Sowmya L"/>
    <x v="1"/>
    <s v="HR Assistant"/>
    <s v="F"/>
    <d v="1997-04-11T00:00:00"/>
    <d v="2023-03-20T00:00:00"/>
    <n v="3.34"/>
    <n v="29000"/>
    <n v="9500"/>
    <n v="3500"/>
    <n v="12"/>
    <n v="700"/>
    <n v="42000"/>
    <n v="2416.6666666666665"/>
    <n v="0.05"/>
    <n v="38878.333333333336"/>
    <s v="5%"/>
    <n v="3.2"/>
    <n v="88"/>
    <n v="0"/>
    <s v="Not Eligible"/>
    <x v="1"/>
    <s v="emp026@abc.com"/>
    <m/>
    <m/>
  </r>
  <r>
    <x v="26"/>
    <s v="Balaji R"/>
    <x v="2"/>
    <s v="Accounts Executive"/>
    <s v="M"/>
    <d v="1991-08-27T00:00:00"/>
    <d v="2017-12-14T00:00:00"/>
    <n v="8.61"/>
    <n v="50000"/>
    <n v="16500"/>
    <n v="7500"/>
    <n v="12"/>
    <n v="1600"/>
    <n v="74000"/>
    <n v="4166.666666666667"/>
    <n v="0.1"/>
    <n v="73223.333333333328"/>
    <s v="10%"/>
    <n v="4.5999999999999996"/>
    <n v="98"/>
    <n v="5000"/>
    <s v="Eligible"/>
    <x v="2"/>
    <s v="emp027@abc.com"/>
    <m/>
    <m/>
  </r>
  <r>
    <x v="27"/>
    <s v="Anusha K"/>
    <x v="3"/>
    <s v="Sales Coordinator"/>
    <s v="F"/>
    <d v="1998-05-16T00:00:00"/>
    <d v="2022-07-11T00:00:00"/>
    <n v="4.04"/>
    <n v="30500"/>
    <n v="10200"/>
    <n v="3800"/>
    <n v="12"/>
    <n v="800"/>
    <n v="44500"/>
    <n v="2541.6666666666665"/>
    <n v="0.05"/>
    <n v="41153.333333333336"/>
    <s v="5%"/>
    <n v="3.4"/>
    <n v="91"/>
    <n v="0"/>
    <s v="Not Eligible"/>
    <x v="3"/>
    <s v="emp028@abc.com"/>
    <m/>
    <m/>
  </r>
  <r>
    <x v="28"/>
    <s v="Senthil M"/>
    <x v="4"/>
    <s v="Process Associate"/>
    <s v="M"/>
    <d v="1994-01-31T00:00:00"/>
    <d v="2020-01-27T00:00:00"/>
    <n v="6.49"/>
    <n v="38500"/>
    <n v="12800"/>
    <n v="5200"/>
    <n v="12"/>
    <n v="1000"/>
    <n v="56500"/>
    <n v="3208.3333333333335"/>
    <n v="0.1"/>
    <n v="57281.666666666664"/>
    <s v="5%"/>
    <n v="4.0999999999999996"/>
    <n v="95"/>
    <n v="5000"/>
    <s v="Eligible"/>
    <x v="4"/>
    <s v="emp029@abc.com"/>
    <m/>
    <m/>
  </r>
  <r>
    <x v="29"/>
    <s v="Harini S"/>
    <x v="5"/>
    <s v="Technical Support"/>
    <s v="F"/>
    <d v="1995-09-09T00:00:00"/>
    <d v="2021-11-22T00:00:00"/>
    <n v="4.67"/>
    <n v="34500"/>
    <n v="11800"/>
    <n v="4700"/>
    <n v="12"/>
    <n v="850"/>
    <n v="51000"/>
    <n v="2875"/>
    <n v="0.1"/>
    <n v="47265"/>
    <s v="5%"/>
    <n v="3.7"/>
    <n v="93"/>
    <n v="0"/>
    <s v="Not Eligible"/>
    <x v="5"/>
    <s v="emp030@abc.com"/>
    <m/>
    <m/>
  </r>
  <r>
    <x v="30"/>
    <s v="Arjun P"/>
    <x v="0"/>
    <s v="Cloud Engineer"/>
    <s v="M"/>
    <d v="1990-04-04T00:00:00"/>
    <d v="2016-02-08T00:00:00"/>
    <n v="10.46"/>
    <n v="72000"/>
    <n v="24500"/>
    <n v="12500"/>
    <n v="12"/>
    <n v="3000"/>
    <n v="109000"/>
    <n v="6000"/>
    <n v="0.2"/>
    <n v="104980"/>
    <s v="10%"/>
    <n v="4.8"/>
    <n v="99"/>
    <n v="5000"/>
    <s v="Eligible"/>
    <x v="0"/>
    <s v="emp031@abc.com"/>
    <m/>
    <m/>
  </r>
  <r>
    <x v="31"/>
    <s v="Divya K"/>
    <x v="1"/>
    <s v="HR Manager"/>
    <s v="F"/>
    <d v="1989-07-19T00:00:00"/>
    <d v="2015-05-18T00:00:00"/>
    <n v="11.18"/>
    <n v="80000"/>
    <n v="28000"/>
    <n v="15000"/>
    <n v="12"/>
    <n v="3500"/>
    <n v="123000"/>
    <n v="6666.666666666667"/>
    <n v="0.2"/>
    <n v="117813.33333333333"/>
    <s v="10%"/>
    <n v="4.2"/>
    <n v="96"/>
    <n v="5000"/>
    <s v="Eligible"/>
    <x v="1"/>
    <s v="emp032@abc.com"/>
    <m/>
    <m/>
  </r>
  <r>
    <x v="32"/>
    <s v="Pradeep S"/>
    <x v="2"/>
    <s v="Senior Auditor"/>
    <s v="M"/>
    <d v="1987-10-10T00:00:00"/>
    <d v="2013-09-02T00:00:00"/>
    <n v="12.89"/>
    <n v="78000"/>
    <n v="27000"/>
    <n v="14000"/>
    <n v="12"/>
    <n v="3300"/>
    <n v="119000"/>
    <n v="6500"/>
    <n v="0.2"/>
    <n v="114180"/>
    <s v="10%"/>
    <n v="4.9000000000000004"/>
    <n v="97"/>
    <n v="5000"/>
    <s v="Eligible"/>
    <x v="2"/>
    <s v="emp033@abc.com"/>
    <m/>
    <m/>
  </r>
  <r>
    <x v="33"/>
    <s v="Shalini R"/>
    <x v="3"/>
    <s v="Sales Manager"/>
    <s v="F"/>
    <d v="1991-03-25T00:00:00"/>
    <d v="2017-01-23T00:00:00"/>
    <n v="9.5"/>
    <n v="65000"/>
    <n v="22000"/>
    <n v="10000"/>
    <n v="12"/>
    <n v="2500"/>
    <n v="97000"/>
    <n v="5416.666666666667"/>
    <n v="0.2"/>
    <n v="89063.333333333328"/>
    <s v="10%"/>
    <n v="4"/>
    <n v="94"/>
    <n v="0"/>
    <s v="Eligible"/>
    <x v="3"/>
    <s v="emp034@abc.com"/>
    <m/>
    <m/>
  </r>
  <r>
    <x v="34"/>
    <s v="Gopal N"/>
    <x v="4"/>
    <s v="Operations Manager"/>
    <s v="M"/>
    <d v="1988-12-06T00:00:00"/>
    <d v="2014-06-16T00:00:00"/>
    <n v="12.11"/>
    <n v="74000"/>
    <n v="25000"/>
    <n v="12000"/>
    <n v="12"/>
    <n v="3000"/>
    <n v="111000"/>
    <n v="6166.666666666667"/>
    <n v="0.2"/>
    <n v="106813.33333333333"/>
    <s v="10%"/>
    <n v="4.7"/>
    <n v="98"/>
    <n v="5000"/>
    <s v="Eligible"/>
    <x v="4"/>
    <s v="emp035@abc.com"/>
    <m/>
    <m/>
  </r>
  <r>
    <x v="35"/>
    <s v="Neha V"/>
    <x v="5"/>
    <s v="Senior Support"/>
    <s v="F"/>
    <d v="1993-02-28T00:00:00"/>
    <d v="2019-10-14T00:00:00"/>
    <n v="6.78"/>
    <n v="42000"/>
    <n v="14000"/>
    <n v="6000"/>
    <n v="12"/>
    <n v="1200"/>
    <n v="62000"/>
    <n v="3500"/>
    <n v="0.1"/>
    <n v="57290"/>
    <s v="5%"/>
    <n v="3.8"/>
    <n v="92"/>
    <n v="0"/>
    <s v="Eligible"/>
    <x v="5"/>
    <s v="emp036@abc.com"/>
    <m/>
    <m/>
  </r>
  <r>
    <x v="36"/>
    <s v="Harikrishnan M"/>
    <x v="0"/>
    <s v="System Admin"/>
    <s v="M"/>
    <d v="1992-06-05T00:00:00"/>
    <d v="2018-08-20T00:00:00"/>
    <n v="7.93"/>
    <n v="51000"/>
    <n v="17500"/>
    <n v="8000"/>
    <n v="12"/>
    <n v="1800"/>
    <n v="76500"/>
    <n v="4250"/>
    <n v="0.1"/>
    <n v="75440"/>
    <s v="10%"/>
    <n v="4.5"/>
    <n v="95"/>
    <n v="5000"/>
    <s v="Eligible"/>
    <x v="0"/>
    <s v="emp037@abc.com"/>
    <m/>
    <m/>
  </r>
  <r>
    <x v="37"/>
    <s v="Swathi L"/>
    <x v="1"/>
    <s v="Payroll Executive"/>
    <s v="F"/>
    <d v="1996-11-13T00:00:00"/>
    <d v="2022-02-07T00:00:00"/>
    <n v="4.46"/>
    <n v="37000"/>
    <n v="12500"/>
    <n v="5000"/>
    <n v="12"/>
    <n v="900"/>
    <n v="54500"/>
    <n v="3083.3333333333335"/>
    <n v="0.1"/>
    <n v="50506.666666666664"/>
    <s v="5%"/>
    <n v="3.9"/>
    <n v="93"/>
    <n v="0"/>
    <s v="Not Eligible"/>
    <x v="1"/>
    <s v="emp038@abc.com"/>
    <m/>
    <m/>
  </r>
  <r>
    <x v="38"/>
    <s v="Naveen R"/>
    <x v="2"/>
    <s v="Tax Analyst"/>
    <s v="M"/>
    <d v="1994-08-22T00:00:00"/>
    <d v="2020-12-01T00:00:00"/>
    <n v="5.65"/>
    <n v="49000"/>
    <n v="16000"/>
    <n v="7000"/>
    <n v="12"/>
    <n v="1500"/>
    <n v="72000"/>
    <n v="4083.3333333333335"/>
    <n v="0.1"/>
    <n v="71406.666666666672"/>
    <s v="5%"/>
    <n v="4.5999999999999996"/>
    <n v="97"/>
    <n v="5000"/>
    <s v="Eligible"/>
    <x v="2"/>
    <s v="emp039@abc.com"/>
    <m/>
    <m/>
  </r>
  <r>
    <x v="39"/>
    <s v="Janani P"/>
    <x v="3"/>
    <s v="Sales Executive"/>
    <s v="F"/>
    <d v="1997-09-27T00:00:00"/>
    <d v="2023-05-15T00:00:00"/>
    <n v="3.19"/>
    <n v="31500"/>
    <n v="10300"/>
    <n v="3900"/>
    <n v="12"/>
    <n v="850"/>
    <n v="45700"/>
    <n v="2625"/>
    <n v="0.05"/>
    <n v="42220"/>
    <s v="5%"/>
    <n v="3.5"/>
    <n v="90"/>
    <n v="0"/>
    <s v="Not Eligible"/>
    <x v="3"/>
    <s v="emp040@abc.com"/>
    <m/>
    <m/>
  </r>
  <r>
    <x v="40"/>
    <s v="Sarath K"/>
    <x v="4"/>
    <s v="Operations Analyst"/>
    <s v="M"/>
    <d v="1995-01-18T00:00:00"/>
    <d v="2021-03-08T00:00:00"/>
    <n v="5.38"/>
    <n v="40000"/>
    <n v="13500"/>
    <n v="5500"/>
    <n v="12"/>
    <n v="1100"/>
    <n v="59000"/>
    <n v="3333.3333333333335"/>
    <n v="0.1"/>
    <n v="54556.666666666664"/>
    <s v="5%"/>
    <n v="4.0999999999999996"/>
    <n v="94"/>
    <n v="0"/>
    <s v="Eligible"/>
    <x v="4"/>
    <s v="emp041@abc.com"/>
    <m/>
    <m/>
  </r>
  <r>
    <x v="41"/>
    <s v="Preethi M"/>
    <x v="5"/>
    <s v="Support Associate"/>
    <s v="F"/>
    <d v="1998-06-23T00:00:00"/>
    <d v="2022-10-17T00:00:00"/>
    <n v="3.77"/>
    <n v="32500"/>
    <n v="11000"/>
    <n v="4300"/>
    <n v="12"/>
    <n v="800"/>
    <n v="47800"/>
    <n v="2708.3333333333335"/>
    <n v="0.05"/>
    <n v="44286.666666666664"/>
    <s v="5%"/>
    <n v="3.6"/>
    <n v="91"/>
    <n v="0"/>
    <s v="Not Eligible"/>
    <x v="5"/>
    <s v="emp042@abc.com"/>
    <m/>
    <m/>
  </r>
  <r>
    <x v="42"/>
    <s v="Vijay A"/>
    <x v="0"/>
    <s v="Data Analyst"/>
    <s v="M"/>
    <d v="1991-11-29T00:00:00"/>
    <d v="2017-04-10T00:00:00"/>
    <n v="9.2899999999999991"/>
    <n v="58000"/>
    <n v="20000"/>
    <n v="9500"/>
    <n v="12"/>
    <n v="2200"/>
    <n v="87500"/>
    <n v="4833.333333333333"/>
    <n v="0.2"/>
    <n v="85446.666666666672"/>
    <s v="10%"/>
    <n v="4.8"/>
    <n v="99"/>
    <n v="5000"/>
    <s v="Eligible"/>
    <x v="0"/>
    <s v="emp043@abc.com"/>
    <m/>
    <m/>
  </r>
  <r>
    <x v="43"/>
    <s v="Shreya D"/>
    <x v="1"/>
    <s v="Talent Acquisition"/>
    <s v="F"/>
    <d v="1994-03-07T00:00:00"/>
    <d v="2020-06-29T00:00:00"/>
    <n v="6.07"/>
    <n v="43000"/>
    <n v="15000"/>
    <n v="6500"/>
    <n v="12"/>
    <n v="1200"/>
    <n v="64500"/>
    <n v="3583.3333333333335"/>
    <n v="0.1"/>
    <n v="59706.666666666664"/>
    <s v="5%"/>
    <n v="3.7"/>
    <n v="92"/>
    <n v="0"/>
    <s v="Eligible"/>
    <x v="1"/>
    <s v="emp044@abc.com"/>
    <m/>
    <m/>
  </r>
  <r>
    <x v="44"/>
    <s v="Murugan S"/>
    <x v="2"/>
    <s v="Senior Accountant"/>
    <s v="M"/>
    <d v="1989-05-12T00:00:00"/>
    <d v="2015-12-21T00:00:00"/>
    <n v="10.59"/>
    <n v="67000"/>
    <n v="22500"/>
    <n v="11000"/>
    <n v="12"/>
    <n v="2900"/>
    <n v="100500"/>
    <n v="5583.333333333333"/>
    <n v="0.2"/>
    <n v="96996.666666666672"/>
    <s v="10%"/>
    <n v="4.4000000000000004"/>
    <n v="96"/>
    <n v="5000"/>
    <s v="Eligible"/>
    <x v="2"/>
    <s v="emp045@abc.com"/>
    <m/>
    <m/>
  </r>
  <r>
    <x v="45"/>
    <s v="Ritika P"/>
    <x v="3"/>
    <s v="Account Manager"/>
    <s v="F"/>
    <d v="1993-12-08T00:00:00"/>
    <d v="2019-09-16T00:00:00"/>
    <n v="6.86"/>
    <n v="56000"/>
    <n v="18500"/>
    <n v="8500"/>
    <n v="12"/>
    <n v="1800"/>
    <n v="83000"/>
    <n v="4666.666666666667"/>
    <n v="0.2"/>
    <n v="76513.333333333328"/>
    <s v="10%"/>
    <n v="3.3"/>
    <n v="89"/>
    <n v="0"/>
    <s v="Eligible"/>
    <x v="3"/>
    <s v="emp046@abc.com"/>
    <m/>
    <m/>
  </r>
  <r>
    <x v="46"/>
    <s v="Kannan R"/>
    <x v="4"/>
    <s v="Shift Supervisor"/>
    <s v="M"/>
    <d v="1992-02-14T00:00:00"/>
    <d v="2018-01-29T00:00:00"/>
    <n v="8.49"/>
    <n v="45000"/>
    <n v="15000"/>
    <n v="7000"/>
    <n v="12"/>
    <n v="1300"/>
    <n v="67000"/>
    <n v="3750"/>
    <n v="0.1"/>
    <n v="66940"/>
    <s v="5%"/>
    <n v="4"/>
    <n v="95"/>
    <n v="5000"/>
    <s v="Eligible"/>
    <x v="4"/>
    <s v="emp047@abc.com"/>
    <m/>
    <m/>
  </r>
  <r>
    <x v="47"/>
    <s v="Anjali N"/>
    <x v="5"/>
    <s v="Customer Success"/>
    <s v="F"/>
    <d v="1996-07-30T00:00:00"/>
    <d v="2021-12-13T00:00:00"/>
    <n v="4.6100000000000003"/>
    <n v="35500"/>
    <n v="12100"/>
    <n v="5000"/>
    <n v="12"/>
    <n v="900"/>
    <n v="52600"/>
    <n v="2958.3333333333335"/>
    <n v="0.1"/>
    <n v="48731.666666666664"/>
    <s v="5%"/>
    <n v="3.8"/>
    <n v="93"/>
    <n v="0"/>
    <s v="Not Eligible"/>
    <x v="5"/>
    <s v="emp048@abc.com"/>
    <m/>
    <m/>
  </r>
  <r>
    <x v="48"/>
    <s v="Sathish K"/>
    <x v="0"/>
    <s v="Backend Developer"/>
    <s v="M"/>
    <d v="1990-09-04T00:00:00"/>
    <d v="2016-10-05T00:00:00"/>
    <n v="9.8000000000000007"/>
    <n v="64000"/>
    <n v="21500"/>
    <n v="10000"/>
    <n v="12"/>
    <n v="2600"/>
    <n v="95500"/>
    <n v="5333.333333333333"/>
    <n v="0.2"/>
    <n v="92546.666666666672"/>
    <s v="10%"/>
    <n v="4.7"/>
    <n v="98"/>
    <n v="5000"/>
    <s v="Eligible"/>
    <x v="0"/>
    <s v="emp049@abc.com"/>
    <m/>
    <m/>
  </r>
  <r>
    <x v="49"/>
    <s v="Komala S"/>
    <x v="1"/>
    <s v="HR Coordinator"/>
    <s v="F"/>
    <d v="1997-02-26T00:00:00"/>
    <d v="2023-04-24T00:00:00"/>
    <n v="3.25"/>
    <n v="30000"/>
    <n v="9800"/>
    <n v="3600"/>
    <n v="12"/>
    <n v="750"/>
    <n v="43400"/>
    <n v="2500"/>
    <n v="0.05"/>
    <n v="40145"/>
    <s v="5%"/>
    <n v="3.6"/>
    <n v="91"/>
    <n v="0"/>
    <s v="Not Eligible"/>
    <x v="1"/>
    <s v="emp050@abc.com"/>
    <m/>
    <m/>
  </r>
  <r>
    <x v="50"/>
    <s v="Arun Kumar"/>
    <x v="0"/>
    <s v="Analyst"/>
    <s v="M"/>
    <d v="1995-04-12T00:00:00"/>
    <d v="2021-06-14T00:00:00"/>
    <n v="5.1100000000000003"/>
    <n v="35000"/>
    <n v="12000"/>
    <n v="5000"/>
    <n v="12"/>
    <n v="1000"/>
    <n v="52000"/>
    <n v="2916.6666666666665"/>
    <n v="0.1"/>
    <n v="53073.333333333336"/>
    <s v="5%"/>
    <n v="4.2"/>
    <n v="96"/>
    <n v="5000"/>
    <s v="Eligible"/>
    <x v="0"/>
    <s v="emp051@abc.com"/>
    <m/>
    <m/>
  </r>
  <r>
    <x v="51"/>
    <s v="Priya S"/>
    <x v="1"/>
    <s v="Executive"/>
    <s v="F"/>
    <d v="1994-09-18T00:00:00"/>
    <d v="2020-03-22T00:00:00"/>
    <n v="6.34"/>
    <n v="42000"/>
    <n v="15000"/>
    <n v="6000"/>
    <n v="12"/>
    <n v="1200"/>
    <n v="63000"/>
    <n v="3500"/>
    <n v="0.1"/>
    <n v="58290"/>
    <s v="5%"/>
    <n v="3.9"/>
    <n v="94"/>
    <n v="0"/>
    <s v="Eligible"/>
    <x v="1"/>
    <s v="emp052@abc.com"/>
    <m/>
    <m/>
  </r>
  <r>
    <x v="52"/>
    <s v="Vikram Raj"/>
    <x v="2"/>
    <s v="Accountant"/>
    <s v="M"/>
    <d v="1992-07-03T00:00:00"/>
    <d v="2019-11-10T00:00:00"/>
    <n v="6.71"/>
    <n v="48000"/>
    <n v="16000"/>
    <n v="7000"/>
    <n v="12"/>
    <n v="1500"/>
    <n v="71000"/>
    <n v="4000"/>
    <n v="0.1"/>
    <n v="70490"/>
    <s v="5%"/>
    <n v="4.5"/>
    <n v="97"/>
    <n v="5000"/>
    <s v="Eligible"/>
    <x v="2"/>
    <s v="emp053@abc.com"/>
    <m/>
    <m/>
  </r>
  <r>
    <x v="53"/>
    <s v="Anita Sharma"/>
    <x v="3"/>
    <s v="Sales Executive"/>
    <s v="F"/>
    <d v="1996-02-21T00:00:00"/>
    <d v="2022-01-05T00:00:00"/>
    <n v="4.55"/>
    <n v="30000"/>
    <n v="10000"/>
    <n v="4000"/>
    <n v="12"/>
    <n v="800"/>
    <n v="44000"/>
    <n v="2500"/>
    <n v="0.05"/>
    <n v="40695"/>
    <s v="5%"/>
    <n v="3.4"/>
    <n v="90"/>
    <n v="0"/>
    <s v="Not Eligible"/>
    <x v="3"/>
    <s v="emp054@abc.com"/>
    <m/>
    <m/>
  </r>
  <r>
    <x v="54"/>
    <s v="Rohit Verma"/>
    <x v="4"/>
    <s v="Coordinator"/>
    <s v="M"/>
    <d v="1993-12-30T00:00:00"/>
    <d v="2018-08-19T00:00:00"/>
    <n v="7.93"/>
    <n v="39000"/>
    <n v="13000"/>
    <n v="5500"/>
    <n v="12"/>
    <n v="1100"/>
    <n v="57500"/>
    <n v="3250"/>
    <n v="0.1"/>
    <n v="58140"/>
    <s v="5%"/>
    <n v="4.0999999999999996"/>
    <n v="95"/>
    <n v="5000"/>
    <s v="Eligible"/>
    <x v="4"/>
    <s v="emp055@abc.com"/>
    <m/>
    <m/>
  </r>
  <r>
    <x v="55"/>
    <s v="Sneha Iyer"/>
    <x v="5"/>
    <s v="Support Engineer"/>
    <s v="F"/>
    <d v="1995-05-14T00:00:00"/>
    <d v="2021-04-12T00:00:00"/>
    <n v="5.28"/>
    <n v="36000"/>
    <n v="12500"/>
    <n v="5000"/>
    <n v="12"/>
    <n v="900"/>
    <n v="53500"/>
    <n v="3000"/>
    <n v="0.1"/>
    <n v="49590"/>
    <s v="5%"/>
    <n v="3.7"/>
    <n v="92"/>
    <n v="0"/>
    <s v="Eligible"/>
    <x v="5"/>
    <s v="emp056@abc.com"/>
    <m/>
    <m/>
  </r>
  <r>
    <x v="56"/>
    <s v="Karthik M"/>
    <x v="0"/>
    <s v="Developer"/>
    <s v="M"/>
    <d v="1991-10-25T00:00:00"/>
    <d v="2017-07-01T00:00:00"/>
    <n v="9.06"/>
    <n v="55000"/>
    <n v="18000"/>
    <n v="9000"/>
    <n v="12"/>
    <n v="2000"/>
    <n v="82000"/>
    <n v="4583.333333333333"/>
    <n v="0.2"/>
    <n v="80396.666666666672"/>
    <s v="10%"/>
    <n v="4.8"/>
    <n v="99"/>
    <n v="5000"/>
    <s v="Eligible"/>
    <x v="0"/>
    <s v="emp057@abc.com"/>
    <m/>
    <m/>
  </r>
  <r>
    <x v="57"/>
    <s v="Meera Nair"/>
    <x v="1"/>
    <s v="HR Analyst"/>
    <s v="F"/>
    <d v="1997-01-09T00:00:00"/>
    <d v="2023-02-13T00:00:00"/>
    <n v="3.45"/>
    <n v="38000"/>
    <n v="14000"/>
    <n v="4500"/>
    <n v="12"/>
    <n v="1000"/>
    <n v="56500"/>
    <n v="3166.6666666666665"/>
    <n v="0.1"/>
    <n v="52323.333333333336"/>
    <s v="5%"/>
    <n v="3.8"/>
    <n v="93"/>
    <n v="0"/>
    <s v="Not Eligible"/>
    <x v="1"/>
    <s v="emp058@abc.com"/>
    <m/>
    <m/>
  </r>
  <r>
    <x v="58"/>
    <s v="Sanjay P"/>
    <x v="2"/>
    <s v="Senior Accountant"/>
    <s v="M"/>
    <d v="1990-06-17T00:00:00"/>
    <d v="2016-09-26T00:00:00"/>
    <n v="9.83"/>
    <n v="62000"/>
    <n v="20000"/>
    <n v="10000"/>
    <n v="12"/>
    <n v="2500"/>
    <n v="92000"/>
    <n v="5166.666666666667"/>
    <n v="0.2"/>
    <n v="89313.333333333328"/>
    <s v="10%"/>
    <n v="4.9000000000000004"/>
    <n v="98"/>
    <n v="5000"/>
    <s v="Eligible"/>
    <x v="2"/>
    <s v="emp059@abc.com"/>
    <m/>
    <m/>
  </r>
  <r>
    <x v="59"/>
    <s v="Divya R"/>
    <x v="3"/>
    <s v="Sales Executive"/>
    <s v="F"/>
    <d v="1998-11-28T00:00:00"/>
    <d v="2022-06-20T00:00:00"/>
    <n v="4.09"/>
    <n v="31000"/>
    <n v="10500"/>
    <n v="4000"/>
    <n v="12"/>
    <n v="850"/>
    <n v="45500"/>
    <n v="2583.3333333333335"/>
    <n v="0.05"/>
    <n v="42061.666666666664"/>
    <s v="5%"/>
    <n v="3.5"/>
    <n v="91"/>
    <n v="0"/>
    <s v="Not Eligible"/>
    <x v="3"/>
    <s v="emp060@abc.com"/>
    <m/>
    <m/>
  </r>
  <r>
    <x v="60"/>
    <s v="Manoj T"/>
    <x v="4"/>
    <s v="Supervisor"/>
    <s v="M"/>
    <d v="1992-03-14T00:00:00"/>
    <d v="2019-02-11T00:00:00"/>
    <n v="7.45"/>
    <n v="46000"/>
    <n v="15500"/>
    <n v="6500"/>
    <n v="12"/>
    <n v="1300"/>
    <n v="68000"/>
    <n v="3833.3333333333335"/>
    <n v="0.1"/>
    <n v="67856.666666666657"/>
    <s v="5%"/>
    <n v="4"/>
    <n v="95"/>
    <n v="5000"/>
    <s v="Eligible"/>
    <x v="4"/>
    <s v="emp061@abc.com"/>
    <m/>
    <m/>
  </r>
  <r>
    <x v="61"/>
    <s v="Nandhini K"/>
    <x v="5"/>
    <s v="Support Analyst"/>
    <s v="F"/>
    <d v="1996-08-19T00:00:00"/>
    <d v="2021-09-06T00:00:00"/>
    <n v="4.88"/>
    <n v="34000"/>
    <n v="11500"/>
    <n v="4800"/>
    <n v="12"/>
    <n v="900"/>
    <n v="50300"/>
    <n v="2833.3333333333335"/>
    <n v="0.1"/>
    <n v="46556.666666666664"/>
    <s v="5%"/>
    <n v="3.6"/>
    <n v="92"/>
    <n v="0"/>
    <s v="Not Eligible"/>
    <x v="5"/>
    <s v="emp062@abc.com"/>
    <m/>
    <m/>
  </r>
  <r>
    <x v="62"/>
    <s v="Arvind S"/>
    <x v="0"/>
    <s v="Senior Developer"/>
    <s v="M"/>
    <d v="1989-12-11T00:00:00"/>
    <d v="2015-04-27T00:00:00"/>
    <n v="11.24"/>
    <n v="70000"/>
    <n v="25000"/>
    <n v="12000"/>
    <n v="12"/>
    <n v="3000"/>
    <n v="107000"/>
    <n v="5833.333333333333"/>
    <n v="0.2"/>
    <n v="103146.66666666667"/>
    <s v="10%"/>
    <n v="4.7"/>
    <n v="97"/>
    <n v="5000"/>
    <s v="Eligible"/>
    <x v="0"/>
    <s v="emp063@abc.com"/>
    <m/>
    <m/>
  </r>
  <r>
    <x v="63"/>
    <s v="Lakshmi Devi"/>
    <x v="1"/>
    <s v="Recruiter"/>
    <s v="F"/>
    <d v="1994-04-05T00:00:00"/>
    <d v="2020-10-15T00:00:00"/>
    <n v="5.78"/>
    <n v="40000"/>
    <n v="14000"/>
    <n v="5500"/>
    <n v="12"/>
    <n v="1100"/>
    <n v="59500"/>
    <n v="3333.3333333333335"/>
    <n v="0.1"/>
    <n v="55056.666666666664"/>
    <s v="5%"/>
    <n v="3.9"/>
    <n v="94"/>
    <n v="0"/>
    <s v="Eligible"/>
    <x v="1"/>
    <s v="emp064@abc.com"/>
    <m/>
    <m/>
  </r>
  <r>
    <x v="64"/>
    <s v="Harish G"/>
    <x v="2"/>
    <s v="Finance Analyst"/>
    <s v="M"/>
    <d v="1993-09-22T00:00:00"/>
    <d v="2018-12-03T00:00:00"/>
    <n v="7.64"/>
    <n v="52000"/>
    <n v="17000"/>
    <n v="8000"/>
    <n v="12"/>
    <n v="1800"/>
    <n v="77000"/>
    <n v="4333.333333333333"/>
    <n v="0.1"/>
    <n v="75856.666666666672"/>
    <s v="10%"/>
    <n v="4.4000000000000004"/>
    <n v="96"/>
    <n v="5000"/>
    <s v="Eligible"/>
    <x v="2"/>
    <s v="emp065@abc.com"/>
    <m/>
    <m/>
  </r>
  <r>
    <x v="65"/>
    <s v="Pooja S"/>
    <x v="3"/>
    <s v="Sales Executive"/>
    <s v="F"/>
    <d v="1997-07-07T00:00:00"/>
    <d v="2023-01-16T00:00:00"/>
    <n v="3.52"/>
    <n v="32000"/>
    <n v="11000"/>
    <n v="4200"/>
    <n v="12"/>
    <n v="900"/>
    <n v="47200"/>
    <n v="2666.6666666666665"/>
    <n v="0.05"/>
    <n v="43628.333333333336"/>
    <s v="5%"/>
    <n v="3.2"/>
    <n v="88"/>
    <n v="0"/>
    <s v="Not Eligible"/>
    <x v="3"/>
    <s v="emp066@abc.com"/>
    <m/>
    <m/>
  </r>
  <r>
    <x v="66"/>
    <s v="Ramesh B"/>
    <x v="4"/>
    <s v="Operations Executive"/>
    <s v="M"/>
    <d v="1991-05-30T00:00:00"/>
    <d v="2017-10-09T00:00:00"/>
    <n v="8.7899999999999991"/>
    <n v="43000"/>
    <n v="14500"/>
    <n v="6000"/>
    <n v="12"/>
    <n v="1200"/>
    <n v="63500"/>
    <n v="3583.3333333333335"/>
    <n v="0.1"/>
    <n v="63706.666666666664"/>
    <s v="5%"/>
    <n v="4.0999999999999996"/>
    <n v="95"/>
    <n v="5000"/>
    <s v="Eligible"/>
    <x v="4"/>
    <s v="emp067@abc.com"/>
    <m/>
    <m/>
  </r>
  <r>
    <x v="67"/>
    <s v="Keerthana M"/>
    <x v="5"/>
    <s v="Customer Support"/>
    <s v="F"/>
    <d v="1998-03-23T00:00:00"/>
    <d v="2022-04-18T00:00:00"/>
    <n v="4.2699999999999996"/>
    <n v="33000"/>
    <n v="11200"/>
    <n v="4500"/>
    <n v="12"/>
    <n v="850"/>
    <n v="48700"/>
    <n v="2750"/>
    <n v="0.05"/>
    <n v="45095"/>
    <s v="5%"/>
    <n v="3.7"/>
    <n v="93"/>
    <n v="0"/>
    <s v="Not Eligible"/>
    <x v="5"/>
    <s v="emp068@abc.com"/>
    <m/>
    <m/>
  </r>
  <r>
    <x v="68"/>
    <s v="Deepak J"/>
    <x v="0"/>
    <s v="Data Engineer"/>
    <s v="M"/>
    <d v="1990-01-13T00:00:00"/>
    <d v="2016-06-24T00:00:00"/>
    <n v="10.08"/>
    <n v="68000"/>
    <n v="23000"/>
    <n v="11000"/>
    <n v="12"/>
    <n v="2800"/>
    <n v="102000"/>
    <n v="5666.666666666667"/>
    <n v="0.2"/>
    <n v="98513.333333333328"/>
    <s v="10%"/>
    <n v="4.8"/>
    <n v="99"/>
    <n v="5000"/>
    <s v="Eligible"/>
    <x v="0"/>
    <s v="emp069@abc.com"/>
    <m/>
    <m/>
  </r>
  <r>
    <x v="69"/>
    <s v="Aishwarya V"/>
    <x v="1"/>
    <s v="HR Executive"/>
    <s v="F"/>
    <d v="1995-10-08T00:00:00"/>
    <d v="2021-08-30T00:00:00"/>
    <n v="4.9000000000000004"/>
    <n v="41000"/>
    <n v="14500"/>
    <n v="5800"/>
    <n v="12"/>
    <n v="1000"/>
    <n v="61300"/>
    <n v="3416.6666666666665"/>
    <n v="0.1"/>
    <n v="56873.333333333336"/>
    <s v="5%"/>
    <n v="3.8"/>
    <n v="91"/>
    <n v="0"/>
    <s v="Not Eligible"/>
    <x v="1"/>
    <s v="emp070@abc.com"/>
    <m/>
    <m/>
  </r>
  <r>
    <x v="70"/>
    <s v="Prakash N"/>
    <x v="2"/>
    <s v="Auditor"/>
    <s v="M"/>
    <d v="1988-02-16T00:00:00"/>
    <d v="2014-11-12T00:00:00"/>
    <n v="11.7"/>
    <n v="75000"/>
    <n v="26000"/>
    <n v="13000"/>
    <n v="12"/>
    <n v="3200"/>
    <n v="114000"/>
    <n v="6250"/>
    <n v="0.2"/>
    <n v="109530"/>
    <s v="10%"/>
    <n v="4.9000000000000004"/>
    <n v="97"/>
    <n v="5000"/>
    <s v="Eligible"/>
    <x v="2"/>
    <s v="emp071@abc.com"/>
    <m/>
    <m/>
  </r>
  <r>
    <x v="71"/>
    <s v="Monica R"/>
    <x v="3"/>
    <s v="Sales Officer"/>
    <s v="F"/>
    <d v="1994-06-29T00:00:00"/>
    <d v="2020-05-25T00:00:00"/>
    <n v="6.16"/>
    <n v="36000"/>
    <n v="12000"/>
    <n v="5000"/>
    <n v="12"/>
    <n v="950"/>
    <n v="53000"/>
    <n v="3000"/>
    <n v="0.1"/>
    <n v="49040"/>
    <s v="5%"/>
    <n v="3.6"/>
    <n v="92"/>
    <n v="0"/>
    <s v="Eligible"/>
    <x v="3"/>
    <s v="emp072@abc.com"/>
    <m/>
    <m/>
  </r>
  <r>
    <x v="72"/>
    <s v="Suresh K"/>
    <x v="4"/>
    <s v="Team Lead"/>
    <s v="M"/>
    <d v="1992-09-15T00:00:00"/>
    <d v="2019-07-08T00:00:00"/>
    <n v="7.04"/>
    <n v="54000"/>
    <n v="18000"/>
    <n v="8500"/>
    <n v="12"/>
    <n v="1700"/>
    <n v="80500"/>
    <n v="4500"/>
    <n v="0.2"/>
    <n v="79280"/>
    <s v="10%"/>
    <n v="4.5"/>
    <n v="96"/>
    <n v="5000"/>
    <s v="Eligible"/>
    <x v="4"/>
    <s v="emp073@abc.com"/>
    <m/>
    <m/>
  </r>
  <r>
    <x v="73"/>
    <s v="Revathi P"/>
    <x v="5"/>
    <s v="Support Engineer"/>
    <s v="F"/>
    <d v="1996-12-02T00:00:00"/>
    <d v="2022-09-12T00:00:00"/>
    <n v="3.87"/>
    <n v="35000"/>
    <n v="12000"/>
    <n v="5000"/>
    <n v="12"/>
    <n v="900"/>
    <n v="52000"/>
    <n v="2916.6666666666665"/>
    <n v="0.1"/>
    <n v="48173.333333333336"/>
    <s v="5%"/>
    <n v="3.4"/>
    <n v="90"/>
    <n v="0"/>
    <s v="Not Eligible"/>
    <x v="5"/>
    <s v="emp074@abc.com"/>
    <m/>
    <m/>
  </r>
  <r>
    <x v="74"/>
    <s v="Vignesh A"/>
    <x v="0"/>
    <s v="QA Analyst"/>
    <s v="M"/>
    <d v="1993-11-20T00:00:00"/>
    <d v="2018-03-19T00:00:00"/>
    <n v="8.35"/>
    <n v="47000"/>
    <n v="16000"/>
    <n v="7000"/>
    <n v="12"/>
    <n v="1500"/>
    <n v="70000"/>
    <n v="3916.6666666666665"/>
    <n v="0.1"/>
    <n v="64573.333333333328"/>
    <s v="5%"/>
    <n v="4.3"/>
    <n v="94"/>
    <n v="0"/>
    <s v="Eligible"/>
    <x v="0"/>
    <s v="emp075@abc.com"/>
    <m/>
    <m/>
  </r>
  <r>
    <x v="75"/>
    <s v="Sowmya L"/>
    <x v="1"/>
    <s v="HR Assistant"/>
    <s v="F"/>
    <d v="1997-04-11T00:00:00"/>
    <d v="2023-03-20T00:00:00"/>
    <n v="3.34"/>
    <n v="29000"/>
    <n v="9500"/>
    <n v="3500"/>
    <n v="12"/>
    <n v="700"/>
    <n v="42000"/>
    <n v="2416.6666666666665"/>
    <n v="0.05"/>
    <n v="38878.333333333336"/>
    <s v="5%"/>
    <n v="3.3"/>
    <n v="89"/>
    <n v="0"/>
    <s v="Not Eligible"/>
    <x v="1"/>
    <s v="emp076@abc.com"/>
    <m/>
    <m/>
  </r>
  <r>
    <x v="76"/>
    <s v="Balaji R"/>
    <x v="2"/>
    <s v="Accounts Executive"/>
    <s v="M"/>
    <d v="1991-08-27T00:00:00"/>
    <d v="2017-12-14T00:00:00"/>
    <n v="8.61"/>
    <n v="50000"/>
    <n v="16500"/>
    <n v="7500"/>
    <n v="12"/>
    <n v="1600"/>
    <n v="74000"/>
    <n v="4166.666666666667"/>
    <n v="0.1"/>
    <n v="73223.333333333328"/>
    <s v="10%"/>
    <n v="4.5999999999999996"/>
    <n v="98"/>
    <n v="5000"/>
    <s v="Eligible"/>
    <x v="2"/>
    <s v="emp077@abc.com"/>
    <m/>
    <m/>
  </r>
  <r>
    <x v="77"/>
    <s v="Anusha K"/>
    <x v="3"/>
    <s v="Sales Coordinator"/>
    <s v="F"/>
    <d v="1998-05-16T00:00:00"/>
    <d v="2022-07-11T00:00:00"/>
    <n v="4.04"/>
    <n v="30500"/>
    <n v="10200"/>
    <n v="3800"/>
    <n v="12"/>
    <n v="800"/>
    <n v="44500"/>
    <n v="2541.6666666666665"/>
    <n v="0.05"/>
    <n v="41153.333333333336"/>
    <s v="5%"/>
    <n v="3.5"/>
    <n v="91"/>
    <n v="0"/>
    <s v="Not Eligible"/>
    <x v="3"/>
    <s v="emp078@abc.com"/>
    <m/>
    <m/>
  </r>
  <r>
    <x v="78"/>
    <s v="Senthil M"/>
    <x v="4"/>
    <s v="Process Associate"/>
    <s v="M"/>
    <d v="1994-01-31T00:00:00"/>
    <d v="2020-01-27T00:00:00"/>
    <n v="6.49"/>
    <n v="38500"/>
    <n v="12800"/>
    <n v="5200"/>
    <n v="12"/>
    <n v="1000"/>
    <n v="56500"/>
    <n v="3208.3333333333335"/>
    <n v="0.1"/>
    <n v="57281.666666666664"/>
    <s v="5%"/>
    <n v="4.0999999999999996"/>
    <n v="95"/>
    <n v="5000"/>
    <s v="Eligible"/>
    <x v="4"/>
    <s v="emp079@abc.com"/>
    <m/>
    <m/>
  </r>
  <r>
    <x v="79"/>
    <s v="Harini S"/>
    <x v="5"/>
    <s v="Technical Support"/>
    <s v="F"/>
    <d v="1995-09-09T00:00:00"/>
    <d v="2021-11-22T00:00:00"/>
    <n v="4.67"/>
    <n v="34500"/>
    <n v="11800"/>
    <n v="4700"/>
    <n v="12"/>
    <n v="850"/>
    <n v="51000"/>
    <n v="2875"/>
    <n v="0.1"/>
    <n v="47265"/>
    <s v="5%"/>
    <n v="3.7"/>
    <n v="93"/>
    <n v="0"/>
    <s v="Not Eligible"/>
    <x v="5"/>
    <s v="emp080@abc.com"/>
    <m/>
    <m/>
  </r>
  <r>
    <x v="80"/>
    <s v="Arjun P"/>
    <x v="0"/>
    <s v="Cloud Engineer"/>
    <s v="M"/>
    <d v="1990-04-04T00:00:00"/>
    <d v="2016-02-08T00:00:00"/>
    <n v="10.46"/>
    <n v="72000"/>
    <n v="24500"/>
    <n v="12500"/>
    <n v="12"/>
    <n v="3000"/>
    <n v="109000"/>
    <n v="6000"/>
    <n v="0.2"/>
    <n v="104980"/>
    <s v="10%"/>
    <n v="4.8"/>
    <n v="99"/>
    <n v="5000"/>
    <s v="Eligible"/>
    <x v="0"/>
    <s v="emp081@abc.com"/>
    <m/>
    <m/>
  </r>
  <r>
    <x v="81"/>
    <s v="Divya K"/>
    <x v="1"/>
    <s v="HR Manager"/>
    <s v="F"/>
    <d v="1989-07-19T00:00:00"/>
    <d v="2015-05-18T00:00:00"/>
    <n v="11.18"/>
    <n v="80000"/>
    <n v="28000"/>
    <n v="15000"/>
    <n v="12"/>
    <n v="3500"/>
    <n v="123000"/>
    <n v="6666.666666666667"/>
    <n v="0.2"/>
    <n v="117813.33333333333"/>
    <s v="10%"/>
    <n v="4.2"/>
    <n v="96"/>
    <n v="5000"/>
    <s v="Eligible"/>
    <x v="1"/>
    <s v="emp082@abc.com"/>
    <m/>
    <m/>
  </r>
  <r>
    <x v="82"/>
    <s v="Pradeep S"/>
    <x v="2"/>
    <s v="Senior Auditor"/>
    <s v="M"/>
    <d v="1987-10-10T00:00:00"/>
    <d v="2013-09-02T00:00:00"/>
    <n v="12.89"/>
    <n v="78000"/>
    <n v="27000"/>
    <n v="14000"/>
    <n v="12"/>
    <n v="3300"/>
    <n v="119000"/>
    <n v="6500"/>
    <n v="0.2"/>
    <n v="114180"/>
    <s v="10%"/>
    <n v="4.9000000000000004"/>
    <n v="97"/>
    <n v="5000"/>
    <s v="Eligible"/>
    <x v="2"/>
    <s v="emp083@abc.com"/>
    <m/>
    <m/>
  </r>
  <r>
    <x v="83"/>
    <s v="Shalini R"/>
    <x v="3"/>
    <s v="Sales Manager"/>
    <s v="F"/>
    <d v="1991-03-25T00:00:00"/>
    <d v="2017-01-23T00:00:00"/>
    <n v="9.5"/>
    <n v="65000"/>
    <n v="22000"/>
    <n v="10000"/>
    <n v="12"/>
    <n v="2500"/>
    <n v="97000"/>
    <n v="5416.666666666667"/>
    <n v="0.2"/>
    <n v="89063.333333333328"/>
    <s v="10%"/>
    <n v="4"/>
    <n v="94"/>
    <n v="0"/>
    <s v="Eligible"/>
    <x v="3"/>
    <s v="emp084@abc.com"/>
    <m/>
    <m/>
  </r>
  <r>
    <x v="84"/>
    <s v="Gopal N"/>
    <x v="4"/>
    <s v="Operations Manager"/>
    <s v="M"/>
    <d v="1988-12-06T00:00:00"/>
    <d v="2014-06-16T00:00:00"/>
    <n v="12.11"/>
    <n v="74000"/>
    <n v="25000"/>
    <n v="12000"/>
    <n v="12"/>
    <n v="3000"/>
    <n v="111000"/>
    <n v="6166.666666666667"/>
    <n v="0.2"/>
    <n v="106813.33333333333"/>
    <s v="10%"/>
    <n v="4.7"/>
    <n v="98"/>
    <n v="5000"/>
    <s v="Eligible"/>
    <x v="4"/>
    <s v="emp085@abc.com"/>
    <m/>
    <m/>
  </r>
  <r>
    <x v="85"/>
    <s v="Neha V"/>
    <x v="5"/>
    <s v="Senior Support"/>
    <s v="F"/>
    <d v="1993-02-28T00:00:00"/>
    <d v="2019-10-14T00:00:00"/>
    <n v="6.78"/>
    <n v="42000"/>
    <n v="14000"/>
    <n v="6000"/>
    <n v="12"/>
    <n v="1200"/>
    <n v="62000"/>
    <n v="3500"/>
    <n v="0.1"/>
    <n v="57290"/>
    <s v="5%"/>
    <n v="3.8"/>
    <n v="92"/>
    <n v="0"/>
    <s v="Eligible"/>
    <x v="5"/>
    <s v="emp086@abc.com"/>
    <m/>
    <m/>
  </r>
  <r>
    <x v="86"/>
    <s v="Harikrishnan M"/>
    <x v="0"/>
    <s v="System Admin"/>
    <s v="M"/>
    <d v="1992-06-05T00:00:00"/>
    <d v="2018-08-20T00:00:00"/>
    <n v="7.93"/>
    <n v="51000"/>
    <n v="17500"/>
    <n v="8000"/>
    <n v="12"/>
    <n v="1800"/>
    <n v="76500"/>
    <n v="4250"/>
    <n v="0.1"/>
    <n v="75440"/>
    <s v="10%"/>
    <n v="4.5"/>
    <n v="95"/>
    <n v="5000"/>
    <s v="Eligible"/>
    <x v="0"/>
    <s v="emp087@abc.com"/>
    <m/>
    <m/>
  </r>
  <r>
    <x v="87"/>
    <s v="Swathi L"/>
    <x v="1"/>
    <s v="Payroll Executive"/>
    <s v="F"/>
    <d v="1996-11-13T00:00:00"/>
    <d v="2022-02-07T00:00:00"/>
    <n v="4.46"/>
    <n v="37000"/>
    <n v="12500"/>
    <n v="5000"/>
    <n v="12"/>
    <n v="900"/>
    <n v="54500"/>
    <n v="3083.3333333333335"/>
    <n v="0.1"/>
    <n v="50506.666666666664"/>
    <s v="5%"/>
    <n v="3.9"/>
    <n v="93"/>
    <n v="0"/>
    <s v="Not Eligible"/>
    <x v="1"/>
    <s v="emp088@abc.com"/>
    <m/>
    <m/>
  </r>
  <r>
    <x v="88"/>
    <s v="Naveen R"/>
    <x v="2"/>
    <s v="Tax Analyst"/>
    <s v="M"/>
    <d v="1994-08-22T00:00:00"/>
    <d v="2020-12-01T00:00:00"/>
    <n v="5.65"/>
    <n v="49000"/>
    <n v="16000"/>
    <n v="7000"/>
    <n v="12"/>
    <n v="1500"/>
    <n v="72000"/>
    <n v="4083.3333333333335"/>
    <n v="0.1"/>
    <n v="71406.666666666672"/>
    <s v="5%"/>
    <n v="4.5999999999999996"/>
    <n v="97"/>
    <n v="5000"/>
    <s v="Eligible"/>
    <x v="2"/>
    <s v="emp089@abc.com"/>
    <m/>
    <m/>
  </r>
  <r>
    <x v="89"/>
    <s v="Janani P"/>
    <x v="3"/>
    <s v="Sales Executive"/>
    <s v="F"/>
    <d v="1997-09-27T00:00:00"/>
    <d v="2023-05-15T00:00:00"/>
    <n v="3.19"/>
    <n v="31500"/>
    <n v="10300"/>
    <n v="3900"/>
    <n v="12"/>
    <n v="850"/>
    <n v="45700"/>
    <n v="2625"/>
    <n v="0.05"/>
    <n v="42220"/>
    <s v="5%"/>
    <n v="3.5"/>
    <n v="90"/>
    <n v="0"/>
    <s v="Not Eligible"/>
    <x v="3"/>
    <s v="emp090@abc.com"/>
    <m/>
    <m/>
  </r>
  <r>
    <x v="90"/>
    <s v="Sarath K"/>
    <x v="4"/>
    <s v="Operations Analyst"/>
    <s v="M"/>
    <d v="1995-01-18T00:00:00"/>
    <d v="2021-03-08T00:00:00"/>
    <n v="5.38"/>
    <n v="40000"/>
    <n v="13500"/>
    <n v="5500"/>
    <n v="12"/>
    <n v="1100"/>
    <n v="59000"/>
    <n v="3333.3333333333335"/>
    <n v="0.1"/>
    <n v="54556.666666666664"/>
    <s v="5%"/>
    <n v="4.0999999999999996"/>
    <n v="94"/>
    <n v="0"/>
    <s v="Eligible"/>
    <x v="4"/>
    <s v="emp091@abc.com"/>
    <m/>
    <m/>
  </r>
  <r>
    <x v="91"/>
    <s v="Preethi M"/>
    <x v="5"/>
    <s v="Support Associate"/>
    <s v="F"/>
    <d v="1998-06-23T00:00:00"/>
    <d v="2022-10-17T00:00:00"/>
    <n v="3.77"/>
    <n v="32500"/>
    <n v="11000"/>
    <n v="4300"/>
    <n v="12"/>
    <n v="800"/>
    <n v="47800"/>
    <n v="2708.3333333333335"/>
    <n v="0.05"/>
    <n v="44286.666666666664"/>
    <s v="5%"/>
    <n v="3.6"/>
    <n v="91"/>
    <n v="0"/>
    <s v="Not Eligible"/>
    <x v="5"/>
    <s v="emp092@abc.com"/>
    <m/>
    <m/>
  </r>
  <r>
    <x v="92"/>
    <s v="Vijay A"/>
    <x v="0"/>
    <s v="Data Analyst"/>
    <s v="M"/>
    <d v="1991-11-29T00:00:00"/>
    <d v="2017-04-10T00:00:00"/>
    <n v="9.2899999999999991"/>
    <n v="58000"/>
    <n v="20000"/>
    <n v="9500"/>
    <n v="12"/>
    <n v="2200"/>
    <n v="87500"/>
    <n v="4833.333333333333"/>
    <n v="0.2"/>
    <n v="85446.666666666672"/>
    <s v="10%"/>
    <n v="4.8"/>
    <n v="99"/>
    <n v="5000"/>
    <s v="Eligible"/>
    <x v="0"/>
    <s v="emp093@abc.com"/>
    <m/>
    <m/>
  </r>
  <r>
    <x v="93"/>
    <s v="Shreya D"/>
    <x v="1"/>
    <s v="Talent Acquisition"/>
    <s v="F"/>
    <d v="1994-03-07T00:00:00"/>
    <d v="2020-06-29T00:00:00"/>
    <n v="6.07"/>
    <n v="43000"/>
    <n v="15000"/>
    <n v="6500"/>
    <n v="12"/>
    <n v="1200"/>
    <n v="64500"/>
    <n v="3583.3333333333335"/>
    <n v="0.1"/>
    <n v="59706.666666666664"/>
    <s v="5%"/>
    <n v="3.7"/>
    <n v="92"/>
    <n v="0"/>
    <s v="Eligible"/>
    <x v="1"/>
    <s v="emp094@abc.com"/>
    <m/>
    <m/>
  </r>
  <r>
    <x v="94"/>
    <s v="Murugan S"/>
    <x v="2"/>
    <s v="Senior Accountant"/>
    <s v="M"/>
    <d v="1989-05-12T00:00:00"/>
    <d v="2015-12-21T00:00:00"/>
    <n v="10.59"/>
    <n v="67000"/>
    <n v="22500"/>
    <n v="11000"/>
    <n v="12"/>
    <n v="2900"/>
    <n v="100500"/>
    <n v="5583.333333333333"/>
    <n v="0.2"/>
    <n v="96996.666666666672"/>
    <s v="10%"/>
    <n v="4.4000000000000004"/>
    <n v="96"/>
    <n v="5000"/>
    <s v="Eligible"/>
    <x v="2"/>
    <s v="emp095@abc.com"/>
    <m/>
    <m/>
  </r>
  <r>
    <x v="95"/>
    <s v="Ritika P"/>
    <x v="3"/>
    <s v="Account Manager"/>
    <s v="F"/>
    <d v="1993-12-08T00:00:00"/>
    <d v="2019-09-16T00:00:00"/>
    <n v="6.86"/>
    <n v="56000"/>
    <n v="18500"/>
    <n v="8500"/>
    <n v="12"/>
    <n v="1800"/>
    <n v="83000"/>
    <n v="4666.666666666667"/>
    <n v="0.2"/>
    <n v="76513.333333333328"/>
    <s v="10%"/>
    <n v="3.3"/>
    <n v="89"/>
    <n v="0"/>
    <s v="Eligible"/>
    <x v="3"/>
    <s v="emp096@abc.com"/>
    <m/>
    <m/>
  </r>
  <r>
    <x v="96"/>
    <s v="Kannan R"/>
    <x v="4"/>
    <s v="Shift Supervisor"/>
    <s v="M"/>
    <d v="1992-02-14T00:00:00"/>
    <d v="2018-01-29T00:00:00"/>
    <n v="8.49"/>
    <n v="45000"/>
    <n v="15000"/>
    <n v="7000"/>
    <n v="12"/>
    <n v="1300"/>
    <n v="67000"/>
    <n v="3750"/>
    <n v="0.1"/>
    <n v="66940"/>
    <s v="5%"/>
    <n v="4"/>
    <n v="95"/>
    <n v="5000"/>
    <s v="Eligible"/>
    <x v="4"/>
    <s v="emp097@abc.com"/>
    <m/>
    <m/>
  </r>
  <r>
    <x v="97"/>
    <s v="Anjali N"/>
    <x v="5"/>
    <s v="Customer Success"/>
    <s v="F"/>
    <d v="1996-07-30T00:00:00"/>
    <d v="2021-12-13T00:00:00"/>
    <n v="4.6100000000000003"/>
    <n v="35500"/>
    <n v="12100"/>
    <n v="5000"/>
    <n v="12"/>
    <n v="900"/>
    <n v="52600"/>
    <n v="2958.3333333333335"/>
    <n v="0.1"/>
    <n v="48731.666666666664"/>
    <s v="5%"/>
    <n v="3.8"/>
    <n v="93"/>
    <n v="0"/>
    <s v="Not Eligible"/>
    <x v="5"/>
    <s v="emp098@abc.com"/>
    <m/>
    <m/>
  </r>
  <r>
    <x v="98"/>
    <s v="Sathish K"/>
    <x v="0"/>
    <s v="Backend Developer"/>
    <s v="M"/>
    <d v="1990-09-04T00:00:00"/>
    <d v="2016-10-05T00:00:00"/>
    <n v="9.8000000000000007"/>
    <n v="64000"/>
    <n v="21500"/>
    <n v="10000"/>
    <n v="12"/>
    <n v="2600"/>
    <n v="95500"/>
    <n v="5333.333333333333"/>
    <n v="0.2"/>
    <n v="92546.666666666672"/>
    <s v="10%"/>
    <n v="4.7"/>
    <n v="98"/>
    <n v="5000"/>
    <s v="Eligible"/>
    <x v="0"/>
    <s v="emp099@abc.com"/>
    <m/>
    <m/>
  </r>
  <r>
    <x v="99"/>
    <s v="Komala S"/>
    <x v="1"/>
    <s v="HR Coordinator"/>
    <s v="F"/>
    <d v="1997-02-26T00:00:00"/>
    <d v="2023-04-24T00:00:00"/>
    <n v="3.25"/>
    <n v="30000"/>
    <n v="9800"/>
    <n v="3600"/>
    <n v="12"/>
    <n v="750"/>
    <n v="43400"/>
    <n v="2500"/>
    <n v="0.05"/>
    <n v="40145"/>
    <s v="5%"/>
    <n v="3.6"/>
    <n v="91"/>
    <n v="0"/>
    <s v="Not Eligible"/>
    <x v="1"/>
    <s v="emp100@abc.com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run Kumar"/>
    <s v="D001"/>
    <s v="Analyst"/>
    <s v="M"/>
    <d v="1995-04-12T00:00:00"/>
    <d v="2021-06-14T00:00:00"/>
    <s v="IT"/>
    <s v="emp001@abc.com"/>
    <n v="5.1100000000000003"/>
    <n v="4.2"/>
    <n v="96"/>
    <n v="35000"/>
    <n v="12000"/>
    <n v="5000"/>
    <s v="5%"/>
    <n v="1750"/>
    <n v="5000"/>
    <n v="58750"/>
    <n v="12"/>
    <n v="2916.6666666666665"/>
    <n v="1000"/>
    <n v="0.1"/>
    <n v="5875"/>
    <s v="Eligible"/>
    <n v="48958.333333333336"/>
  </r>
  <r>
    <x v="1"/>
    <s v="Priya S"/>
    <s v="D002"/>
    <s v="Executive"/>
    <s v="F"/>
    <d v="1994-09-18T00:00:00"/>
    <d v="2020-03-22T00:00:00"/>
    <s v="HR"/>
    <s v="emp002@abc.com"/>
    <n v="6.34"/>
    <n v="3.8"/>
    <n v="94"/>
    <n v="42000"/>
    <n v="15000"/>
    <n v="6000"/>
    <s v="5%"/>
    <n v="2100"/>
    <n v="0"/>
    <n v="65100"/>
    <n v="12"/>
    <n v="3500"/>
    <n v="1200"/>
    <n v="0.1"/>
    <n v="6510"/>
    <s v="Eligible"/>
    <n v="53890"/>
  </r>
  <r>
    <x v="2"/>
    <s v="Vikram Raj"/>
    <s v="D003"/>
    <s v="Accountant"/>
    <s v="M"/>
    <d v="1992-07-03T00:00:00"/>
    <d v="2019-11-10T00:00:00"/>
    <s v="Finance"/>
    <s v="emp003@abc.com"/>
    <n v="6.71"/>
    <n v="4.5999999999999996"/>
    <n v="98"/>
    <n v="48000"/>
    <n v="16000"/>
    <n v="7000"/>
    <s v="5%"/>
    <n v="2400"/>
    <n v="5000"/>
    <n v="78400"/>
    <n v="12"/>
    <n v="4000"/>
    <n v="1500"/>
    <n v="0.1"/>
    <n v="7840"/>
    <s v="Eligible"/>
    <n v="65060"/>
  </r>
  <r>
    <x v="3"/>
    <s v="Anita Sharma"/>
    <s v="D004"/>
    <s v="Sales Executive"/>
    <s v="F"/>
    <d v="1996-02-21T00:00:00"/>
    <d v="2022-01-05T00:00:00"/>
    <s v="Sales"/>
    <s v="emp004@abc.com"/>
    <n v="4.55"/>
    <n v="3.4"/>
    <n v="91"/>
    <n v="30000"/>
    <n v="10000"/>
    <n v="4000"/>
    <s v="5%"/>
    <n v="1500"/>
    <n v="0"/>
    <n v="45500"/>
    <n v="12"/>
    <n v="2500"/>
    <n v="800"/>
    <n v="0.05"/>
    <n v="2275"/>
    <s v="Not Eligible"/>
    <n v="39925"/>
  </r>
  <r>
    <x v="4"/>
    <s v="Rohit Verma"/>
    <s v="D005"/>
    <s v="Coordinator"/>
    <s v="M"/>
    <d v="1993-12-30T00:00:00"/>
    <d v="2018-08-19T00:00:00"/>
    <s v="Operations"/>
    <s v="emp005@abc.com"/>
    <n v="7.93"/>
    <n v="4"/>
    <n v="95"/>
    <n v="39000"/>
    <n v="13000"/>
    <n v="5500"/>
    <s v="5%"/>
    <n v="1950"/>
    <n v="5000"/>
    <n v="64450"/>
    <n v="12"/>
    <n v="3250"/>
    <n v="1100"/>
    <n v="0.1"/>
    <n v="6445"/>
    <s v="Eligible"/>
    <n v="53655"/>
  </r>
  <r>
    <x v="5"/>
    <s v="Sneha Iyer"/>
    <s v="D006"/>
    <s v="Support Engineer"/>
    <s v="F"/>
    <d v="1995-05-14T00:00:00"/>
    <d v="2021-04-12T00:00:00"/>
    <s v="Support"/>
    <s v="emp006@abc.com"/>
    <n v="5.28"/>
    <n v="3.9"/>
    <n v="93"/>
    <n v="36000"/>
    <n v="12500"/>
    <n v="5000"/>
    <s v="5%"/>
    <n v="1800"/>
    <n v="0"/>
    <n v="55300"/>
    <n v="12"/>
    <n v="3000"/>
    <n v="900"/>
    <n v="0.1"/>
    <n v="5530"/>
    <s v="Eligible"/>
    <n v="45870"/>
  </r>
  <r>
    <x v="6"/>
    <s v="Karthik M"/>
    <s v="D001"/>
    <s v="Developer"/>
    <s v="M"/>
    <d v="1991-10-25T00:00:00"/>
    <d v="2017-07-01T00:00:00"/>
    <s v="IT"/>
    <s v="emp007@abc.com"/>
    <n v="9.06"/>
    <n v="4.8"/>
    <n v="99"/>
    <n v="55000"/>
    <n v="18000"/>
    <n v="9000"/>
    <s v="10%"/>
    <n v="5500"/>
    <n v="5000"/>
    <n v="92500"/>
    <n v="12"/>
    <n v="4583.333333333333"/>
    <n v="2000"/>
    <n v="0.2"/>
    <n v="18500"/>
    <s v="Eligible"/>
    <n v="67416.666666666672"/>
  </r>
  <r>
    <x v="7"/>
    <s v="Meera Nair"/>
    <s v="D002"/>
    <s v="HR Analyst"/>
    <s v="F"/>
    <d v="1997-01-09T00:00:00"/>
    <d v="2023-02-13T00:00:00"/>
    <s v="HR"/>
    <s v="emp008@abc.com"/>
    <n v="3.45"/>
    <n v="3.7"/>
    <n v="92"/>
    <n v="38000"/>
    <n v="14000"/>
    <n v="4500"/>
    <s v="5%"/>
    <n v="1900"/>
    <n v="0"/>
    <n v="58400"/>
    <n v="12"/>
    <n v="3166.6666666666665"/>
    <n v="1000"/>
    <n v="0.1"/>
    <n v="5840"/>
    <s v="Not Eligible"/>
    <n v="48393.333333333336"/>
  </r>
  <r>
    <x v="8"/>
    <s v="Sanjay P"/>
    <s v="D003"/>
    <s v="Senior Accountant"/>
    <s v="M"/>
    <d v="1990-06-17T00:00:00"/>
    <d v="2016-09-26T00:00:00"/>
    <s v="Finance"/>
    <s v="emp009@abc.com"/>
    <n v="9.83"/>
    <n v="4.9000000000000004"/>
    <n v="97"/>
    <n v="62000"/>
    <n v="20000"/>
    <n v="10000"/>
    <s v="10%"/>
    <n v="6200"/>
    <n v="5000"/>
    <n v="103200"/>
    <n v="12"/>
    <n v="5166.666666666667"/>
    <n v="2500"/>
    <n v="0.2"/>
    <n v="20640"/>
    <s v="Eligible"/>
    <n v="74893.333333333328"/>
  </r>
  <r>
    <x v="9"/>
    <s v="Divya R"/>
    <s v="D004"/>
    <s v="Sales Executive"/>
    <s v="F"/>
    <d v="1998-11-28T00:00:00"/>
    <d v="2022-06-20T00:00:00"/>
    <s v="Sales"/>
    <s v="emp010@abc.com"/>
    <n v="4.09"/>
    <n v="3.5"/>
    <n v="90"/>
    <n v="31000"/>
    <n v="10500"/>
    <n v="4000"/>
    <s v="5%"/>
    <n v="1550"/>
    <n v="0"/>
    <n v="47050"/>
    <n v="12"/>
    <n v="2583.3333333333335"/>
    <n v="850"/>
    <n v="0.05"/>
    <n v="2352.5"/>
    <s v="Not Eligible"/>
    <n v="41264.166666666664"/>
  </r>
  <r>
    <x v="10"/>
    <s v="Manoj T"/>
    <s v="D005"/>
    <s v="Supervisor"/>
    <s v="M"/>
    <d v="1992-03-14T00:00:00"/>
    <d v="2019-02-11T00:00:00"/>
    <s v="Operations"/>
    <s v="emp011@abc.com"/>
    <n v="7.45"/>
    <n v="4.0999999999999996"/>
    <n v="95"/>
    <n v="46000"/>
    <n v="15500"/>
    <n v="6500"/>
    <s v="5%"/>
    <n v="2300"/>
    <n v="5000"/>
    <n v="75300"/>
    <n v="12"/>
    <n v="3833.3333333333335"/>
    <n v="1300"/>
    <n v="0.1"/>
    <n v="7530"/>
    <s v="Eligible"/>
    <n v="62636.666666666664"/>
  </r>
  <r>
    <x v="11"/>
    <s v="Nandhini K"/>
    <s v="D006"/>
    <s v="Support Analyst"/>
    <s v="F"/>
    <d v="1996-08-19T00:00:00"/>
    <d v="2021-09-06T00:00:00"/>
    <s v="Support"/>
    <s v="emp012@abc.com"/>
    <n v="4.88"/>
    <n v="3.6"/>
    <n v="92"/>
    <n v="34000"/>
    <n v="11500"/>
    <n v="4800"/>
    <s v="5%"/>
    <n v="1700"/>
    <n v="0"/>
    <n v="52000"/>
    <n v="12"/>
    <n v="2833.3333333333335"/>
    <n v="900"/>
    <n v="0.1"/>
    <n v="5200"/>
    <s v="Not Eligible"/>
    <n v="43066.666666666664"/>
  </r>
  <r>
    <x v="12"/>
    <s v="Arvind S"/>
    <s v="D001"/>
    <s v="Senior Developer"/>
    <s v="M"/>
    <d v="1989-12-11T00:00:00"/>
    <d v="2015-04-27T00:00:00"/>
    <s v="IT"/>
    <s v="emp013@abc.com"/>
    <n v="11.24"/>
    <n v="4.7"/>
    <n v="98"/>
    <n v="70000"/>
    <n v="25000"/>
    <n v="12000"/>
    <s v="10%"/>
    <n v="7000"/>
    <n v="5000"/>
    <n v="119000"/>
    <n v="12"/>
    <n v="5833.333333333333"/>
    <n v="3000"/>
    <n v="0.2"/>
    <n v="23800"/>
    <s v="Eligible"/>
    <n v="86366.666666666672"/>
  </r>
  <r>
    <x v="13"/>
    <s v="Lakshmi Devi"/>
    <s v="D002"/>
    <s v="Recruiter"/>
    <s v="F"/>
    <d v="1994-04-05T00:00:00"/>
    <d v="2020-10-15T00:00:00"/>
    <s v="HR"/>
    <s v="emp014@abc.com"/>
    <n v="5.78"/>
    <n v="3.8"/>
    <n v="94"/>
    <n v="40000"/>
    <n v="14000"/>
    <n v="5500"/>
    <s v="5%"/>
    <n v="2000"/>
    <n v="0"/>
    <n v="61500"/>
    <n v="12"/>
    <n v="3333.3333333333335"/>
    <n v="1100"/>
    <n v="0.1"/>
    <n v="6150"/>
    <s v="Eligible"/>
    <n v="50916.666666666664"/>
  </r>
  <r>
    <x v="14"/>
    <s v="Harish G"/>
    <s v="D003"/>
    <s v="Finance Analyst"/>
    <s v="M"/>
    <d v="1993-09-22T00:00:00"/>
    <d v="2018-12-03T00:00:00"/>
    <s v="Finance"/>
    <s v="emp015@abc.com"/>
    <n v="7.64"/>
    <n v="4.5"/>
    <n v="96"/>
    <n v="52000"/>
    <n v="17000"/>
    <n v="8000"/>
    <s v="10%"/>
    <n v="5200"/>
    <n v="5000"/>
    <n v="87200"/>
    <n v="12"/>
    <n v="4333.333333333333"/>
    <n v="1800"/>
    <n v="0.2"/>
    <n v="17440"/>
    <s v="Eligible"/>
    <n v="63626.666666666664"/>
  </r>
  <r>
    <x v="15"/>
    <s v="Pooja S"/>
    <s v="D004"/>
    <s v="Sales Executive"/>
    <s v="F"/>
    <d v="1997-07-07T00:00:00"/>
    <d v="2023-01-16T00:00:00"/>
    <s v="Sales"/>
    <s v="emp016@abc.com"/>
    <n v="3.52"/>
    <n v="3.3"/>
    <n v="89"/>
    <n v="32000"/>
    <n v="11000"/>
    <n v="4200"/>
    <s v="5%"/>
    <n v="1600"/>
    <n v="0"/>
    <n v="48800"/>
    <n v="12"/>
    <n v="2666.6666666666665"/>
    <n v="900"/>
    <n v="0.05"/>
    <n v="2440"/>
    <s v="Not Eligible"/>
    <n v="42793.333333333336"/>
  </r>
  <r>
    <x v="16"/>
    <s v="Ramesh B"/>
    <s v="D005"/>
    <s v="Operations Executive"/>
    <s v="M"/>
    <d v="1991-05-30T00:00:00"/>
    <d v="2017-10-09T00:00:00"/>
    <s v="Operations"/>
    <s v="emp017@abc.com"/>
    <n v="8.7899999999999991"/>
    <n v="4"/>
    <n v="95"/>
    <n v="43000"/>
    <n v="14500"/>
    <n v="6000"/>
    <s v="5%"/>
    <n v="2150"/>
    <n v="5000"/>
    <n v="70650"/>
    <n v="12"/>
    <n v="3583.3333333333335"/>
    <n v="1200"/>
    <n v="0.1"/>
    <n v="7065"/>
    <s v="Eligible"/>
    <n v="58801.666666666664"/>
  </r>
  <r>
    <x v="17"/>
    <s v="Keerthana M"/>
    <s v="D006"/>
    <s v="Customer Support"/>
    <s v="F"/>
    <d v="1998-03-23T00:00:00"/>
    <d v="2022-04-18T00:00:00"/>
    <s v="Support"/>
    <s v="emp018@abc.com"/>
    <n v="4.2699999999999996"/>
    <n v="3.7"/>
    <n v="93"/>
    <n v="33000"/>
    <n v="11200"/>
    <n v="4500"/>
    <s v="5%"/>
    <n v="1650"/>
    <n v="0"/>
    <n v="50350"/>
    <n v="12"/>
    <n v="2750"/>
    <n v="850"/>
    <n v="0.1"/>
    <n v="5035"/>
    <s v="Not Eligible"/>
    <n v="41715"/>
  </r>
  <r>
    <x v="18"/>
    <s v="Deepak J"/>
    <s v="D001"/>
    <s v="Data Engineer"/>
    <s v="M"/>
    <d v="1990-01-13T00:00:00"/>
    <d v="2016-06-24T00:00:00"/>
    <s v="IT"/>
    <s v="emp019@abc.com"/>
    <n v="10.08"/>
    <n v="4.8"/>
    <n v="99"/>
    <n v="68000"/>
    <n v="23000"/>
    <n v="11000"/>
    <s v="10%"/>
    <n v="6800"/>
    <n v="5000"/>
    <n v="113800"/>
    <n v="12"/>
    <n v="5666.666666666667"/>
    <n v="2800"/>
    <n v="0.2"/>
    <n v="22760"/>
    <s v="Eligible"/>
    <n v="82573.333333333328"/>
  </r>
  <r>
    <x v="19"/>
    <s v="Aishwarya V"/>
    <s v="D002"/>
    <s v="HR Executive"/>
    <s v="F"/>
    <d v="1995-10-08T00:00:00"/>
    <d v="2021-08-30T00:00:00"/>
    <s v="HR"/>
    <s v="emp020@abc.com"/>
    <n v="4.9000000000000004"/>
    <n v="3.9"/>
    <n v="91"/>
    <n v="41000"/>
    <n v="14500"/>
    <n v="5800"/>
    <s v="5%"/>
    <n v="2050"/>
    <n v="0"/>
    <n v="63350"/>
    <n v="12"/>
    <n v="3416.6666666666665"/>
    <n v="1000"/>
    <n v="0.1"/>
    <n v="6335"/>
    <s v="Not Eligible"/>
    <n v="52598.333333333336"/>
  </r>
  <r>
    <x v="20"/>
    <s v="Prakash N"/>
    <s v="D003"/>
    <s v="Auditor"/>
    <s v="M"/>
    <d v="1988-02-16T00:00:00"/>
    <d v="2014-11-12T00:00:00"/>
    <s v="Finance"/>
    <s v="emp021@abc.com"/>
    <n v="11.7"/>
    <n v="4.9000000000000004"/>
    <n v="97"/>
    <n v="75000"/>
    <n v="26000"/>
    <n v="13000"/>
    <s v="10%"/>
    <n v="7500"/>
    <n v="5000"/>
    <n v="126500"/>
    <n v="12"/>
    <n v="6250"/>
    <n v="3200"/>
    <n v="0.2"/>
    <n v="25300"/>
    <s v="Eligible"/>
    <n v="91750"/>
  </r>
  <r>
    <x v="21"/>
    <s v="Monica R"/>
    <s v="D004"/>
    <s v="Sales Officer"/>
    <s v="F"/>
    <d v="1994-06-29T00:00:00"/>
    <d v="2020-05-25T00:00:00"/>
    <s v="Sales"/>
    <s v="emp022@abc.com"/>
    <n v="6.16"/>
    <n v="3.6"/>
    <n v="92"/>
    <n v="36000"/>
    <n v="12000"/>
    <n v="5000"/>
    <s v="5%"/>
    <n v="1800"/>
    <n v="0"/>
    <n v="54800"/>
    <n v="12"/>
    <n v="3000"/>
    <n v="950"/>
    <n v="0.1"/>
    <n v="5480"/>
    <s v="Eligible"/>
    <n v="45370"/>
  </r>
  <r>
    <x v="22"/>
    <s v="Suresh K"/>
    <s v="D005"/>
    <s v="Team Lead"/>
    <s v="M"/>
    <d v="1992-09-15T00:00:00"/>
    <d v="2019-07-08T00:00:00"/>
    <s v="Operations"/>
    <s v="emp023@abc.com"/>
    <n v="7.04"/>
    <n v="4.4000000000000004"/>
    <n v="96"/>
    <n v="54000"/>
    <n v="18000"/>
    <n v="8500"/>
    <s v="10%"/>
    <n v="5400"/>
    <n v="5000"/>
    <n v="90900"/>
    <n v="12"/>
    <n v="4500"/>
    <n v="1700"/>
    <n v="0.2"/>
    <n v="18180"/>
    <s v="Eligible"/>
    <n v="66520"/>
  </r>
  <r>
    <x v="23"/>
    <s v="Revathi P"/>
    <s v="D006"/>
    <s v="Support Engineer"/>
    <s v="F"/>
    <d v="1996-12-02T00:00:00"/>
    <d v="2022-09-12T00:00:00"/>
    <s v="Support"/>
    <s v="emp024@abc.com"/>
    <n v="3.87"/>
    <n v="3.5"/>
    <n v="90"/>
    <n v="35000"/>
    <n v="12000"/>
    <n v="5000"/>
    <s v="5%"/>
    <n v="1750"/>
    <n v="0"/>
    <n v="53750"/>
    <n v="12"/>
    <n v="2916.6666666666665"/>
    <n v="900"/>
    <n v="0.1"/>
    <n v="5375"/>
    <s v="Not Eligible"/>
    <n v="44558.333333333336"/>
  </r>
  <r>
    <x v="24"/>
    <s v="Vignesh A"/>
    <s v="D001"/>
    <s v="QA Analyst"/>
    <s v="M"/>
    <d v="1993-11-20T00:00:00"/>
    <d v="2018-03-19T00:00:00"/>
    <s v="IT"/>
    <s v="emp025@abc.com"/>
    <n v="8.35"/>
    <n v="4.3"/>
    <n v="94"/>
    <n v="47000"/>
    <n v="16000"/>
    <n v="7000"/>
    <s v="5%"/>
    <n v="2350"/>
    <n v="0"/>
    <n v="72350"/>
    <n v="12"/>
    <n v="3916.6666666666665"/>
    <n v="1500"/>
    <n v="0.1"/>
    <n v="7235"/>
    <s v="Eligible"/>
    <n v="59698.333333333336"/>
  </r>
  <r>
    <x v="25"/>
    <s v="Sowmya L"/>
    <s v="D002"/>
    <s v="HR Assistant"/>
    <s v="F"/>
    <d v="1997-04-11T00:00:00"/>
    <d v="2023-03-20T00:00:00"/>
    <s v="HR"/>
    <s v="emp026@abc.com"/>
    <n v="3.34"/>
    <n v="3.2"/>
    <n v="88"/>
    <n v="29000"/>
    <n v="9500"/>
    <n v="3500"/>
    <s v="5%"/>
    <n v="1450"/>
    <n v="0"/>
    <n v="43450"/>
    <n v="12"/>
    <n v="2416.6666666666665"/>
    <n v="700"/>
    <n v="0.05"/>
    <n v="2172.5"/>
    <s v="Not Eligible"/>
    <n v="38160.833333333336"/>
  </r>
  <r>
    <x v="26"/>
    <s v="Balaji R"/>
    <s v="D003"/>
    <s v="Accounts Executive"/>
    <s v="M"/>
    <d v="1991-08-27T00:00:00"/>
    <d v="2017-12-14T00:00:00"/>
    <s v="Finance"/>
    <s v="emp027@abc.com"/>
    <n v="8.61"/>
    <n v="4.5999999999999996"/>
    <n v="98"/>
    <n v="50000"/>
    <n v="16500"/>
    <n v="7500"/>
    <s v="10%"/>
    <n v="5000"/>
    <n v="5000"/>
    <n v="84000"/>
    <n v="12"/>
    <n v="4166.666666666667"/>
    <n v="1600"/>
    <n v="0.2"/>
    <n v="16800"/>
    <s v="Eligible"/>
    <n v="61433.333333333336"/>
  </r>
  <r>
    <x v="27"/>
    <s v="Anusha K"/>
    <s v="D004"/>
    <s v="Sales Coordinator"/>
    <s v="F"/>
    <d v="1998-05-16T00:00:00"/>
    <d v="2022-07-11T00:00:00"/>
    <s v="Sales"/>
    <s v="emp028@abc.com"/>
    <n v="4.04"/>
    <n v="3.4"/>
    <n v="91"/>
    <n v="30500"/>
    <n v="10200"/>
    <n v="3800"/>
    <s v="5%"/>
    <n v="1525"/>
    <n v="0"/>
    <n v="46025"/>
    <n v="12"/>
    <n v="2541.6666666666665"/>
    <n v="800"/>
    <n v="0.05"/>
    <n v="2301.25"/>
    <s v="Not Eligible"/>
    <n v="40382.083333333336"/>
  </r>
  <r>
    <x v="28"/>
    <s v="Senthil M"/>
    <s v="D005"/>
    <s v="Process Associate"/>
    <s v="M"/>
    <d v="1994-01-31T00:00:00"/>
    <d v="2020-01-27T00:00:00"/>
    <s v="Operations"/>
    <s v="emp029@abc.com"/>
    <n v="6.49"/>
    <n v="4.0999999999999996"/>
    <n v="95"/>
    <n v="38500"/>
    <n v="12800"/>
    <n v="5200"/>
    <s v="5%"/>
    <n v="1925"/>
    <n v="5000"/>
    <n v="63425"/>
    <n v="12"/>
    <n v="3208.3333333333335"/>
    <n v="1000"/>
    <n v="0.1"/>
    <n v="6342.5"/>
    <s v="Eligible"/>
    <n v="52874.166666666664"/>
  </r>
  <r>
    <x v="29"/>
    <s v="Harini S"/>
    <s v="D006"/>
    <s v="Technical Support"/>
    <s v="F"/>
    <d v="1995-09-09T00:00:00"/>
    <d v="2021-11-22T00:00:00"/>
    <s v="Support"/>
    <s v="emp030@abc.com"/>
    <n v="4.67"/>
    <n v="3.7"/>
    <n v="93"/>
    <n v="34500"/>
    <n v="11800"/>
    <n v="4700"/>
    <s v="5%"/>
    <n v="1725"/>
    <n v="0"/>
    <n v="52725"/>
    <n v="12"/>
    <n v="2875"/>
    <n v="850"/>
    <n v="0.1"/>
    <n v="5272.5"/>
    <s v="Not Eligible"/>
    <n v="43727.5"/>
  </r>
  <r>
    <x v="30"/>
    <s v="Arjun P"/>
    <s v="D001"/>
    <s v="Cloud Engineer"/>
    <s v="M"/>
    <d v="1990-04-04T00:00:00"/>
    <d v="2016-02-08T00:00:00"/>
    <s v="IT"/>
    <s v="emp031@abc.com"/>
    <n v="10.46"/>
    <n v="4.8"/>
    <n v="99"/>
    <n v="72000"/>
    <n v="24500"/>
    <n v="12500"/>
    <s v="10%"/>
    <n v="7200"/>
    <n v="5000"/>
    <n v="121200"/>
    <n v="12"/>
    <n v="6000"/>
    <n v="3000"/>
    <n v="0.2"/>
    <n v="24240"/>
    <s v="Eligible"/>
    <n v="87960"/>
  </r>
  <r>
    <x v="31"/>
    <s v="Divya K"/>
    <s v="D002"/>
    <s v="HR Manager"/>
    <s v="F"/>
    <d v="1989-07-19T00:00:00"/>
    <d v="2015-05-18T00:00:00"/>
    <s v="HR"/>
    <s v="emp032@abc.com"/>
    <n v="11.18"/>
    <n v="4.2"/>
    <n v="96"/>
    <n v="80000"/>
    <n v="28000"/>
    <n v="15000"/>
    <s v="10%"/>
    <n v="8000"/>
    <n v="5000"/>
    <n v="136000"/>
    <n v="12"/>
    <n v="6666.666666666667"/>
    <n v="3500"/>
    <n v="0.2"/>
    <n v="27200"/>
    <s v="Eligible"/>
    <n v="98633.333333333328"/>
  </r>
  <r>
    <x v="32"/>
    <s v="Pradeep S"/>
    <s v="D003"/>
    <s v="Senior Auditor"/>
    <s v="M"/>
    <d v="1987-10-10T00:00:00"/>
    <d v="2013-09-02T00:00:00"/>
    <s v="Finance"/>
    <s v="emp033@abc.com"/>
    <n v="12.89"/>
    <n v="4.9000000000000004"/>
    <n v="97"/>
    <n v="78000"/>
    <n v="27000"/>
    <n v="14000"/>
    <s v="10%"/>
    <n v="7800"/>
    <n v="5000"/>
    <n v="131800"/>
    <n v="12"/>
    <n v="6500"/>
    <n v="3300"/>
    <n v="0.2"/>
    <n v="26360"/>
    <s v="Eligible"/>
    <n v="95640"/>
  </r>
  <r>
    <x v="33"/>
    <s v="Shalini R"/>
    <s v="D004"/>
    <s v="Sales Manager"/>
    <s v="F"/>
    <d v="1991-03-25T00:00:00"/>
    <d v="2017-01-23T00:00:00"/>
    <s v="Sales"/>
    <s v="emp034@abc.com"/>
    <n v="9.5"/>
    <n v="4"/>
    <n v="94"/>
    <n v="65000"/>
    <n v="22000"/>
    <n v="10000"/>
    <s v="10%"/>
    <n v="6500"/>
    <n v="0"/>
    <n v="103500"/>
    <n v="12"/>
    <n v="5416.666666666667"/>
    <n v="2500"/>
    <n v="0.2"/>
    <n v="20700"/>
    <s v="Eligible"/>
    <n v="74883.333333333328"/>
  </r>
  <r>
    <x v="34"/>
    <s v="Gopal N"/>
    <s v="D005"/>
    <s v="Operations Manager"/>
    <s v="M"/>
    <d v="1988-12-06T00:00:00"/>
    <d v="2014-06-16T00:00:00"/>
    <s v="Operations"/>
    <s v="emp035@abc.com"/>
    <n v="12.11"/>
    <n v="4.7"/>
    <n v="98"/>
    <n v="74000"/>
    <n v="25000"/>
    <n v="12000"/>
    <s v="10%"/>
    <n v="7400"/>
    <n v="5000"/>
    <n v="123400"/>
    <n v="12"/>
    <n v="6166.666666666667"/>
    <n v="3000"/>
    <n v="0.2"/>
    <n v="24680"/>
    <s v="Eligible"/>
    <n v="89553.333333333328"/>
  </r>
  <r>
    <x v="35"/>
    <s v="Neha V"/>
    <s v="D006"/>
    <s v="Senior Support"/>
    <s v="F"/>
    <d v="1993-02-28T00:00:00"/>
    <d v="2019-10-14T00:00:00"/>
    <s v="Support"/>
    <s v="emp036@abc.com"/>
    <n v="6.78"/>
    <n v="3.8"/>
    <n v="92"/>
    <n v="42000"/>
    <n v="14000"/>
    <n v="6000"/>
    <s v="5%"/>
    <n v="2100"/>
    <n v="0"/>
    <n v="64100"/>
    <n v="12"/>
    <n v="3500"/>
    <n v="1200"/>
    <n v="0.1"/>
    <n v="6410"/>
    <s v="Eligible"/>
    <n v="52990"/>
  </r>
  <r>
    <x v="36"/>
    <s v="Harikrishnan M"/>
    <s v="D001"/>
    <s v="System Admin"/>
    <s v="M"/>
    <d v="1992-06-05T00:00:00"/>
    <d v="2018-08-20T00:00:00"/>
    <s v="IT"/>
    <s v="emp037@abc.com"/>
    <n v="7.93"/>
    <n v="4.5"/>
    <n v="95"/>
    <n v="51000"/>
    <n v="17500"/>
    <n v="8000"/>
    <s v="10%"/>
    <n v="5100"/>
    <n v="5000"/>
    <n v="86600"/>
    <n v="12"/>
    <n v="4250"/>
    <n v="1800"/>
    <n v="0.2"/>
    <n v="17320"/>
    <s v="Eligible"/>
    <n v="63230"/>
  </r>
  <r>
    <x v="37"/>
    <s v="Swathi L"/>
    <s v="D002"/>
    <s v="Payroll Executive"/>
    <s v="F"/>
    <d v="1996-11-13T00:00:00"/>
    <d v="2022-02-07T00:00:00"/>
    <s v="HR"/>
    <s v="emp038@abc.com"/>
    <n v="4.46"/>
    <n v="3.9"/>
    <n v="93"/>
    <n v="37000"/>
    <n v="12500"/>
    <n v="5000"/>
    <s v="5%"/>
    <n v="1850"/>
    <n v="0"/>
    <n v="56350"/>
    <n v="12"/>
    <n v="3083.3333333333335"/>
    <n v="900"/>
    <n v="0.1"/>
    <n v="5635"/>
    <s v="Not Eligible"/>
    <n v="46731.666666666664"/>
  </r>
  <r>
    <x v="38"/>
    <s v="Naveen R"/>
    <s v="D003"/>
    <s v="Tax Analyst"/>
    <s v="M"/>
    <d v="1994-08-22T00:00:00"/>
    <d v="2020-12-01T00:00:00"/>
    <s v="Finance"/>
    <s v="emp039@abc.com"/>
    <n v="5.65"/>
    <n v="4.5999999999999996"/>
    <n v="97"/>
    <n v="49000"/>
    <n v="16000"/>
    <n v="7000"/>
    <s v="5%"/>
    <n v="2450"/>
    <n v="5000"/>
    <n v="79450"/>
    <n v="12"/>
    <n v="4083.3333333333335"/>
    <n v="1500"/>
    <n v="0.1"/>
    <n v="7945"/>
    <s v="Eligible"/>
    <n v="65921.666666666672"/>
  </r>
  <r>
    <x v="39"/>
    <s v="Janani P"/>
    <s v="D004"/>
    <s v="Sales Executive"/>
    <s v="F"/>
    <d v="1997-09-27T00:00:00"/>
    <d v="2023-05-15T00:00:00"/>
    <s v="Sales"/>
    <s v="emp040@abc.com"/>
    <n v="3.19"/>
    <n v="3.5"/>
    <n v="90"/>
    <n v="31500"/>
    <n v="10300"/>
    <n v="3900"/>
    <s v="5%"/>
    <n v="1575"/>
    <n v="0"/>
    <n v="47275"/>
    <n v="12"/>
    <n v="2625"/>
    <n v="850"/>
    <n v="0.05"/>
    <n v="2363.75"/>
    <s v="Not Eligible"/>
    <n v="41436.25"/>
  </r>
  <r>
    <x v="40"/>
    <s v="Sarath K"/>
    <s v="D005"/>
    <s v="Operations Analyst"/>
    <s v="M"/>
    <d v="1995-01-18T00:00:00"/>
    <d v="2021-03-08T00:00:00"/>
    <s v="Operations"/>
    <s v="emp041@abc.com"/>
    <n v="5.38"/>
    <n v="4.0999999999999996"/>
    <n v="94"/>
    <n v="40000"/>
    <n v="13500"/>
    <n v="5500"/>
    <s v="5%"/>
    <n v="2000"/>
    <n v="0"/>
    <n v="61000"/>
    <n v="12"/>
    <n v="3333.3333333333335"/>
    <n v="1100"/>
    <n v="0.1"/>
    <n v="6100"/>
    <s v="Eligible"/>
    <n v="50466.666666666664"/>
  </r>
  <r>
    <x v="41"/>
    <s v="Preethi M"/>
    <s v="D006"/>
    <s v="Support Associate"/>
    <s v="F"/>
    <d v="1998-06-23T00:00:00"/>
    <d v="2022-10-17T00:00:00"/>
    <s v="Support"/>
    <s v="emp042@abc.com"/>
    <n v="3.77"/>
    <n v="3.6"/>
    <n v="91"/>
    <n v="32500"/>
    <n v="11000"/>
    <n v="4300"/>
    <s v="5%"/>
    <n v="1625"/>
    <n v="0"/>
    <n v="49425"/>
    <n v="12"/>
    <n v="2708.3333333333335"/>
    <n v="800"/>
    <n v="0.05"/>
    <n v="2471.25"/>
    <s v="Not Eligible"/>
    <n v="43445.416666666664"/>
  </r>
  <r>
    <x v="42"/>
    <s v="Vijay A"/>
    <s v="D001"/>
    <s v="Data Analyst"/>
    <s v="M"/>
    <d v="1991-11-29T00:00:00"/>
    <d v="2017-04-10T00:00:00"/>
    <s v="IT"/>
    <s v="emp043@abc.com"/>
    <n v="9.2899999999999991"/>
    <n v="4.8"/>
    <n v="99"/>
    <n v="58000"/>
    <n v="20000"/>
    <n v="9500"/>
    <s v="10%"/>
    <n v="5800"/>
    <n v="5000"/>
    <n v="98300"/>
    <n v="12"/>
    <n v="4833.333333333333"/>
    <n v="2200"/>
    <n v="0.2"/>
    <n v="19660"/>
    <s v="Eligible"/>
    <n v="71606.666666666672"/>
  </r>
  <r>
    <x v="43"/>
    <s v="Shreya D"/>
    <s v="D002"/>
    <s v="Talent Acquisition"/>
    <s v="F"/>
    <d v="1994-03-07T00:00:00"/>
    <d v="2020-06-29T00:00:00"/>
    <s v="HR"/>
    <s v="emp044@abc.com"/>
    <n v="6.07"/>
    <n v="3.7"/>
    <n v="92"/>
    <n v="43000"/>
    <n v="15000"/>
    <n v="6500"/>
    <s v="5%"/>
    <n v="2150"/>
    <n v="0"/>
    <n v="66650"/>
    <n v="12"/>
    <n v="3583.3333333333335"/>
    <n v="1200"/>
    <n v="0.1"/>
    <n v="6665"/>
    <s v="Eligible"/>
    <n v="55201.666666666664"/>
  </r>
  <r>
    <x v="44"/>
    <s v="Murugan S"/>
    <s v="D003"/>
    <s v="Senior Accountant"/>
    <s v="M"/>
    <d v="1989-05-12T00:00:00"/>
    <d v="2015-12-21T00:00:00"/>
    <s v="Finance"/>
    <s v="emp045@abc.com"/>
    <n v="10.59"/>
    <n v="4.4000000000000004"/>
    <n v="96"/>
    <n v="67000"/>
    <n v="22500"/>
    <n v="11000"/>
    <s v="10%"/>
    <n v="6700"/>
    <n v="5000"/>
    <n v="112200"/>
    <n v="12"/>
    <n v="5583.333333333333"/>
    <n v="2900"/>
    <n v="0.2"/>
    <n v="22440"/>
    <s v="Eligible"/>
    <n v="81276.666666666672"/>
  </r>
  <r>
    <x v="45"/>
    <s v="Ritika P"/>
    <s v="D004"/>
    <s v="Account Manager"/>
    <s v="F"/>
    <d v="1993-12-08T00:00:00"/>
    <d v="2019-09-16T00:00:00"/>
    <s v="Sales"/>
    <s v="emp046@abc.com"/>
    <n v="6.86"/>
    <n v="3.3"/>
    <n v="89"/>
    <n v="56000"/>
    <n v="18500"/>
    <n v="8500"/>
    <s v="10%"/>
    <n v="5600"/>
    <n v="0"/>
    <n v="88600"/>
    <n v="12"/>
    <n v="4666.666666666667"/>
    <n v="1800"/>
    <n v="0.2"/>
    <n v="17720"/>
    <s v="Eligible"/>
    <n v="64413.333333333328"/>
  </r>
  <r>
    <x v="46"/>
    <s v="Kannan R"/>
    <s v="D005"/>
    <s v="Shift Supervisor"/>
    <s v="M"/>
    <d v="1992-02-14T00:00:00"/>
    <d v="2018-01-29T00:00:00"/>
    <s v="Operations"/>
    <s v="emp047@abc.com"/>
    <n v="8.49"/>
    <n v="4"/>
    <n v="95"/>
    <n v="45000"/>
    <n v="15000"/>
    <n v="7000"/>
    <s v="5%"/>
    <n v="2250"/>
    <n v="5000"/>
    <n v="74250"/>
    <n v="12"/>
    <n v="3750"/>
    <n v="1300"/>
    <n v="0.1"/>
    <n v="7425"/>
    <s v="Eligible"/>
    <n v="61775"/>
  </r>
  <r>
    <x v="47"/>
    <s v="Anjali N"/>
    <s v="D006"/>
    <s v="Customer Success"/>
    <s v="F"/>
    <d v="1996-07-30T00:00:00"/>
    <d v="2021-12-13T00:00:00"/>
    <s v="Support"/>
    <s v="emp048@abc.com"/>
    <n v="4.6100000000000003"/>
    <n v="3.8"/>
    <n v="93"/>
    <n v="35500"/>
    <n v="12100"/>
    <n v="5000"/>
    <s v="5%"/>
    <n v="1775"/>
    <n v="0"/>
    <n v="54375"/>
    <n v="12"/>
    <n v="2958.3333333333335"/>
    <n v="900"/>
    <n v="0.1"/>
    <n v="5437.5"/>
    <s v="Not Eligible"/>
    <n v="45079.166666666664"/>
  </r>
  <r>
    <x v="48"/>
    <s v="Sathish K"/>
    <s v="D001"/>
    <s v="Backend Developer"/>
    <s v="M"/>
    <d v="1990-09-04T00:00:00"/>
    <d v="2016-10-05T00:00:00"/>
    <s v="IT"/>
    <s v="emp049@abc.com"/>
    <n v="9.8000000000000007"/>
    <n v="4.7"/>
    <n v="98"/>
    <n v="64000"/>
    <n v="21500"/>
    <n v="10000"/>
    <s v="10%"/>
    <n v="6400"/>
    <n v="5000"/>
    <n v="106900"/>
    <n v="12"/>
    <n v="5333.333333333333"/>
    <n v="2600"/>
    <n v="0.2"/>
    <n v="21380"/>
    <s v="Eligible"/>
    <n v="77586.666666666672"/>
  </r>
  <r>
    <x v="49"/>
    <s v="Komala S"/>
    <s v="D002"/>
    <s v="HR Coordinator"/>
    <s v="F"/>
    <d v="1997-02-26T00:00:00"/>
    <d v="2023-04-24T00:00:00"/>
    <s v="HR"/>
    <s v="emp050@abc.com"/>
    <n v="3.25"/>
    <n v="3.6"/>
    <n v="91"/>
    <n v="30000"/>
    <n v="9800"/>
    <n v="3600"/>
    <s v="5%"/>
    <n v="1500"/>
    <n v="0"/>
    <n v="44900"/>
    <n v="12"/>
    <n v="2500"/>
    <n v="750"/>
    <n v="0.05"/>
    <n v="2245"/>
    <s v="Not Eligible"/>
    <n v="39405"/>
  </r>
  <r>
    <x v="50"/>
    <s v="Arun Kumar"/>
    <s v="D001"/>
    <s v="Analyst"/>
    <s v="M"/>
    <d v="1995-04-12T00:00:00"/>
    <d v="2021-06-14T00:00:00"/>
    <s v="IT"/>
    <s v="emp051@abc.com"/>
    <n v="5.1100000000000003"/>
    <n v="4.2"/>
    <n v="96"/>
    <n v="35000"/>
    <n v="12000"/>
    <n v="5000"/>
    <s v="5%"/>
    <n v="1750"/>
    <n v="5000"/>
    <n v="58750"/>
    <n v="12"/>
    <n v="2916.6666666666665"/>
    <n v="1000"/>
    <n v="0.1"/>
    <n v="5875"/>
    <s v="Eligible"/>
    <n v="48958.333333333336"/>
  </r>
  <r>
    <x v="51"/>
    <s v="Priya S"/>
    <s v="D002"/>
    <s v="Executive"/>
    <s v="F"/>
    <d v="1994-09-18T00:00:00"/>
    <d v="2020-03-22T00:00:00"/>
    <s v="HR"/>
    <s v="emp052@abc.com"/>
    <n v="6.34"/>
    <n v="3.9"/>
    <n v="94"/>
    <n v="42000"/>
    <n v="15000"/>
    <n v="6000"/>
    <s v="5%"/>
    <n v="2100"/>
    <n v="0"/>
    <n v="65100"/>
    <n v="12"/>
    <n v="3500"/>
    <n v="1200"/>
    <n v="0.1"/>
    <n v="6510"/>
    <s v="Eligible"/>
    <n v="53890"/>
  </r>
  <r>
    <x v="52"/>
    <s v="Vikram Raj"/>
    <s v="D003"/>
    <s v="Accountant"/>
    <s v="M"/>
    <d v="1992-07-03T00:00:00"/>
    <d v="2019-11-10T00:00:00"/>
    <s v="Finance"/>
    <s v="emp053@abc.com"/>
    <n v="6.71"/>
    <n v="4.5"/>
    <n v="97"/>
    <n v="48000"/>
    <n v="16000"/>
    <n v="7000"/>
    <s v="5%"/>
    <n v="2400"/>
    <n v="5000"/>
    <n v="78400"/>
    <n v="12"/>
    <n v="4000"/>
    <n v="1500"/>
    <n v="0.1"/>
    <n v="7840"/>
    <s v="Eligible"/>
    <n v="65060"/>
  </r>
  <r>
    <x v="53"/>
    <s v="Anita Sharma"/>
    <s v="D004"/>
    <s v="Sales Executive"/>
    <s v="F"/>
    <d v="1996-02-21T00:00:00"/>
    <d v="2022-01-05T00:00:00"/>
    <s v="Sales"/>
    <s v="emp054@abc.com"/>
    <n v="4.55"/>
    <n v="3.4"/>
    <n v="90"/>
    <n v="30000"/>
    <n v="10000"/>
    <n v="4000"/>
    <s v="5%"/>
    <n v="1500"/>
    <n v="0"/>
    <n v="45500"/>
    <n v="12"/>
    <n v="2500"/>
    <n v="800"/>
    <n v="0.05"/>
    <n v="2275"/>
    <s v="Not Eligible"/>
    <n v="39925"/>
  </r>
  <r>
    <x v="54"/>
    <s v="Rohit Verma"/>
    <s v="D005"/>
    <s v="Coordinator"/>
    <s v="M"/>
    <d v="1993-12-30T00:00:00"/>
    <d v="2018-08-19T00:00:00"/>
    <s v="Operations"/>
    <s v="emp055@abc.com"/>
    <n v="7.93"/>
    <n v="4.0999999999999996"/>
    <n v="95"/>
    <n v="39000"/>
    <n v="13000"/>
    <n v="5500"/>
    <s v="5%"/>
    <n v="1950"/>
    <n v="5000"/>
    <n v="64450"/>
    <n v="12"/>
    <n v="3250"/>
    <n v="1100"/>
    <n v="0.1"/>
    <n v="6445"/>
    <s v="Eligible"/>
    <n v="53655"/>
  </r>
  <r>
    <x v="55"/>
    <s v="Sneha Iyer"/>
    <s v="D006"/>
    <s v="Support Engineer"/>
    <s v="F"/>
    <d v="1995-05-14T00:00:00"/>
    <d v="2021-04-12T00:00:00"/>
    <s v="Support"/>
    <s v="emp056@abc.com"/>
    <n v="5.28"/>
    <n v="3.7"/>
    <n v="92"/>
    <n v="36000"/>
    <n v="12500"/>
    <n v="5000"/>
    <s v="5%"/>
    <n v="1800"/>
    <n v="0"/>
    <n v="55300"/>
    <n v="12"/>
    <n v="3000"/>
    <n v="900"/>
    <n v="0.1"/>
    <n v="5530"/>
    <s v="Eligible"/>
    <n v="45870"/>
  </r>
  <r>
    <x v="56"/>
    <s v="Karthik M"/>
    <s v="D001"/>
    <s v="Developer"/>
    <s v="M"/>
    <d v="1991-10-25T00:00:00"/>
    <d v="2017-07-01T00:00:00"/>
    <s v="IT"/>
    <s v="emp057@abc.com"/>
    <n v="9.06"/>
    <n v="4.8"/>
    <n v="99"/>
    <n v="55000"/>
    <n v="18000"/>
    <n v="9000"/>
    <s v="10%"/>
    <n v="5500"/>
    <n v="5000"/>
    <n v="92500"/>
    <n v="12"/>
    <n v="4583.333333333333"/>
    <n v="2000"/>
    <n v="0.2"/>
    <n v="18500"/>
    <s v="Eligible"/>
    <n v="67416.666666666672"/>
  </r>
  <r>
    <x v="57"/>
    <s v="Meera Nair"/>
    <s v="D002"/>
    <s v="HR Analyst"/>
    <s v="F"/>
    <d v="1997-01-09T00:00:00"/>
    <d v="2023-02-13T00:00:00"/>
    <s v="HR"/>
    <s v="emp058@abc.com"/>
    <n v="3.45"/>
    <n v="3.8"/>
    <n v="93"/>
    <n v="38000"/>
    <n v="14000"/>
    <n v="4500"/>
    <s v="5%"/>
    <n v="1900"/>
    <n v="0"/>
    <n v="58400"/>
    <n v="12"/>
    <n v="3166.6666666666665"/>
    <n v="1000"/>
    <n v="0.1"/>
    <n v="5840"/>
    <s v="Not Eligible"/>
    <n v="48393.333333333336"/>
  </r>
  <r>
    <x v="58"/>
    <s v="Sanjay P"/>
    <s v="D003"/>
    <s v="Senior Accountant"/>
    <s v="M"/>
    <d v="1990-06-17T00:00:00"/>
    <d v="2016-09-26T00:00:00"/>
    <s v="Finance"/>
    <s v="emp059@abc.com"/>
    <n v="9.83"/>
    <n v="4.9000000000000004"/>
    <n v="98"/>
    <n v="62000"/>
    <n v="20000"/>
    <n v="10000"/>
    <s v="10%"/>
    <n v="6200"/>
    <n v="5000"/>
    <n v="103200"/>
    <n v="12"/>
    <n v="5166.666666666667"/>
    <n v="2500"/>
    <n v="0.2"/>
    <n v="20640"/>
    <s v="Eligible"/>
    <n v="74893.333333333328"/>
  </r>
  <r>
    <x v="59"/>
    <s v="Divya R"/>
    <s v="D004"/>
    <s v="Sales Executive"/>
    <s v="F"/>
    <d v="1998-11-28T00:00:00"/>
    <d v="2022-06-20T00:00:00"/>
    <s v="Sales"/>
    <s v="emp060@abc.com"/>
    <n v="4.09"/>
    <n v="3.5"/>
    <n v="91"/>
    <n v="31000"/>
    <n v="10500"/>
    <n v="4000"/>
    <s v="5%"/>
    <n v="1550"/>
    <n v="0"/>
    <n v="47050"/>
    <n v="12"/>
    <n v="2583.3333333333335"/>
    <n v="850"/>
    <n v="0.05"/>
    <n v="2352.5"/>
    <s v="Not Eligible"/>
    <n v="41264.166666666664"/>
  </r>
  <r>
    <x v="60"/>
    <s v="Manoj T"/>
    <s v="D005"/>
    <s v="Supervisor"/>
    <s v="M"/>
    <d v="1992-03-14T00:00:00"/>
    <d v="2019-02-11T00:00:00"/>
    <s v="Operations"/>
    <s v="emp061@abc.com"/>
    <n v="7.45"/>
    <n v="4"/>
    <n v="95"/>
    <n v="46000"/>
    <n v="15500"/>
    <n v="6500"/>
    <s v="5%"/>
    <n v="2300"/>
    <n v="5000"/>
    <n v="75300"/>
    <n v="12"/>
    <n v="3833.3333333333335"/>
    <n v="1300"/>
    <n v="0.1"/>
    <n v="7530"/>
    <s v="Eligible"/>
    <n v="62636.666666666664"/>
  </r>
  <r>
    <x v="61"/>
    <s v="Nandhini K"/>
    <s v="D006"/>
    <s v="Support Analyst"/>
    <s v="F"/>
    <d v="1996-08-19T00:00:00"/>
    <d v="2021-09-06T00:00:00"/>
    <s v="Support"/>
    <s v="emp062@abc.com"/>
    <n v="4.88"/>
    <n v="3.6"/>
    <n v="92"/>
    <n v="34000"/>
    <n v="11500"/>
    <n v="4800"/>
    <s v="5%"/>
    <n v="1700"/>
    <n v="0"/>
    <n v="52000"/>
    <n v="12"/>
    <n v="2833.3333333333335"/>
    <n v="900"/>
    <n v="0.1"/>
    <n v="5200"/>
    <s v="Not Eligible"/>
    <n v="43066.666666666664"/>
  </r>
  <r>
    <x v="62"/>
    <s v="Arvind S"/>
    <s v="D001"/>
    <s v="Senior Developer"/>
    <s v="M"/>
    <d v="1989-12-11T00:00:00"/>
    <d v="2015-04-27T00:00:00"/>
    <s v="IT"/>
    <s v="emp063@abc.com"/>
    <n v="11.24"/>
    <n v="4.7"/>
    <n v="97"/>
    <n v="70000"/>
    <n v="25000"/>
    <n v="12000"/>
    <s v="10%"/>
    <n v="7000"/>
    <n v="5000"/>
    <n v="119000"/>
    <n v="12"/>
    <n v="5833.333333333333"/>
    <n v="3000"/>
    <n v="0.2"/>
    <n v="23800"/>
    <s v="Eligible"/>
    <n v="86366.666666666672"/>
  </r>
  <r>
    <x v="63"/>
    <s v="Lakshmi Devi"/>
    <s v="D002"/>
    <s v="Recruiter"/>
    <s v="F"/>
    <d v="1994-04-05T00:00:00"/>
    <d v="2020-10-15T00:00:00"/>
    <s v="HR"/>
    <s v="emp064@abc.com"/>
    <n v="5.78"/>
    <n v="3.9"/>
    <n v="94"/>
    <n v="40000"/>
    <n v="14000"/>
    <n v="5500"/>
    <s v="5%"/>
    <n v="2000"/>
    <n v="0"/>
    <n v="61500"/>
    <n v="12"/>
    <n v="3333.3333333333335"/>
    <n v="1100"/>
    <n v="0.1"/>
    <n v="6150"/>
    <s v="Eligible"/>
    <n v="50916.666666666664"/>
  </r>
  <r>
    <x v="64"/>
    <s v="Harish G"/>
    <s v="D003"/>
    <s v="Finance Analyst"/>
    <s v="M"/>
    <d v="1993-09-22T00:00:00"/>
    <d v="2018-12-03T00:00:00"/>
    <s v="Finance"/>
    <s v="emp065@abc.com"/>
    <n v="7.64"/>
    <n v="4.4000000000000004"/>
    <n v="96"/>
    <n v="52000"/>
    <n v="17000"/>
    <n v="8000"/>
    <s v="10%"/>
    <n v="5200"/>
    <n v="5000"/>
    <n v="87200"/>
    <n v="12"/>
    <n v="4333.333333333333"/>
    <n v="1800"/>
    <n v="0.2"/>
    <n v="17440"/>
    <s v="Eligible"/>
    <n v="63626.666666666664"/>
  </r>
  <r>
    <x v="65"/>
    <s v="Pooja S"/>
    <s v="D004"/>
    <s v="Sales Executive"/>
    <s v="F"/>
    <d v="1997-07-07T00:00:00"/>
    <d v="2023-01-16T00:00:00"/>
    <s v="Sales"/>
    <s v="emp066@abc.com"/>
    <n v="3.52"/>
    <n v="3.2"/>
    <n v="88"/>
    <n v="32000"/>
    <n v="11000"/>
    <n v="4200"/>
    <s v="5%"/>
    <n v="1600"/>
    <n v="0"/>
    <n v="48800"/>
    <n v="12"/>
    <n v="2666.6666666666665"/>
    <n v="900"/>
    <n v="0.05"/>
    <n v="2440"/>
    <s v="Not Eligible"/>
    <n v="42793.333333333336"/>
  </r>
  <r>
    <x v="66"/>
    <s v="Ramesh B"/>
    <s v="D005"/>
    <s v="Operations Executive"/>
    <s v="M"/>
    <d v="1991-05-30T00:00:00"/>
    <d v="2017-10-09T00:00:00"/>
    <s v="Operations"/>
    <s v="emp067@abc.com"/>
    <n v="8.7899999999999991"/>
    <n v="4.0999999999999996"/>
    <n v="95"/>
    <n v="43000"/>
    <n v="14500"/>
    <n v="6000"/>
    <s v="5%"/>
    <n v="2150"/>
    <n v="5000"/>
    <n v="70650"/>
    <n v="12"/>
    <n v="3583.3333333333335"/>
    <n v="1200"/>
    <n v="0.1"/>
    <n v="7065"/>
    <s v="Eligible"/>
    <n v="58801.666666666664"/>
  </r>
  <r>
    <x v="67"/>
    <s v="Keerthana M"/>
    <s v="D006"/>
    <s v="Customer Support"/>
    <s v="F"/>
    <d v="1998-03-23T00:00:00"/>
    <d v="2022-04-18T00:00:00"/>
    <s v="Support"/>
    <s v="emp068@abc.com"/>
    <n v="4.2699999999999996"/>
    <n v="3.7"/>
    <n v="93"/>
    <n v="33000"/>
    <n v="11200"/>
    <n v="4500"/>
    <s v="5%"/>
    <n v="1650"/>
    <n v="0"/>
    <n v="50350"/>
    <n v="12"/>
    <n v="2750"/>
    <n v="850"/>
    <n v="0.1"/>
    <n v="5035"/>
    <s v="Not Eligible"/>
    <n v="41715"/>
  </r>
  <r>
    <x v="68"/>
    <s v="Deepak J"/>
    <s v="D001"/>
    <s v="Data Engineer"/>
    <s v="M"/>
    <d v="1990-01-13T00:00:00"/>
    <d v="2016-06-24T00:00:00"/>
    <s v="IT"/>
    <s v="emp069@abc.com"/>
    <n v="10.08"/>
    <n v="4.8"/>
    <n v="99"/>
    <n v="68000"/>
    <n v="23000"/>
    <n v="11000"/>
    <s v="10%"/>
    <n v="6800"/>
    <n v="5000"/>
    <n v="113800"/>
    <n v="12"/>
    <n v="5666.666666666667"/>
    <n v="2800"/>
    <n v="0.2"/>
    <n v="22760"/>
    <s v="Eligible"/>
    <n v="82573.333333333328"/>
  </r>
  <r>
    <x v="69"/>
    <s v="Aishwarya V"/>
    <s v="D002"/>
    <s v="HR Executive"/>
    <s v="F"/>
    <d v="1995-10-08T00:00:00"/>
    <d v="2021-08-30T00:00:00"/>
    <s v="HR"/>
    <s v="emp070@abc.com"/>
    <n v="4.9000000000000004"/>
    <n v="3.8"/>
    <n v="91"/>
    <n v="41000"/>
    <n v="14500"/>
    <n v="5800"/>
    <s v="5%"/>
    <n v="2050"/>
    <n v="0"/>
    <n v="63350"/>
    <n v="12"/>
    <n v="3416.6666666666665"/>
    <n v="1000"/>
    <n v="0.1"/>
    <n v="6335"/>
    <s v="Not Eligible"/>
    <n v="52598.333333333336"/>
  </r>
  <r>
    <x v="70"/>
    <s v="Prakash N"/>
    <s v="D003"/>
    <s v="Auditor"/>
    <s v="M"/>
    <d v="1988-02-16T00:00:00"/>
    <d v="2014-11-12T00:00:00"/>
    <s v="Finance"/>
    <s v="emp071@abc.com"/>
    <n v="11.7"/>
    <n v="4.9000000000000004"/>
    <n v="97"/>
    <n v="75000"/>
    <n v="26000"/>
    <n v="13000"/>
    <s v="10%"/>
    <n v="7500"/>
    <n v="5000"/>
    <n v="126500"/>
    <n v="12"/>
    <n v="6250"/>
    <n v="3200"/>
    <n v="0.2"/>
    <n v="25300"/>
    <s v="Eligible"/>
    <n v="91750"/>
  </r>
  <r>
    <x v="71"/>
    <s v="Monica R"/>
    <s v="D004"/>
    <s v="Sales Officer"/>
    <s v="F"/>
    <d v="1994-06-29T00:00:00"/>
    <d v="2020-05-25T00:00:00"/>
    <s v="Sales"/>
    <s v="emp072@abc.com"/>
    <n v="6.16"/>
    <n v="3.6"/>
    <n v="92"/>
    <n v="36000"/>
    <n v="12000"/>
    <n v="5000"/>
    <s v="5%"/>
    <n v="1800"/>
    <n v="0"/>
    <n v="54800"/>
    <n v="12"/>
    <n v="3000"/>
    <n v="950"/>
    <n v="0.1"/>
    <n v="5480"/>
    <s v="Eligible"/>
    <n v="45370"/>
  </r>
  <r>
    <x v="72"/>
    <s v="Suresh K"/>
    <s v="D005"/>
    <s v="Team Lead"/>
    <s v="M"/>
    <d v="1992-09-15T00:00:00"/>
    <d v="2019-07-08T00:00:00"/>
    <s v="Operations"/>
    <s v="emp073@abc.com"/>
    <n v="7.04"/>
    <n v="4.5"/>
    <n v="96"/>
    <n v="54000"/>
    <n v="18000"/>
    <n v="8500"/>
    <s v="10%"/>
    <n v="5400"/>
    <n v="5000"/>
    <n v="90900"/>
    <n v="12"/>
    <n v="4500"/>
    <n v="1700"/>
    <n v="0.2"/>
    <n v="18180"/>
    <s v="Eligible"/>
    <n v="66520"/>
  </r>
  <r>
    <x v="73"/>
    <s v="Revathi P"/>
    <s v="D006"/>
    <s v="Support Engineer"/>
    <s v="F"/>
    <d v="1996-12-02T00:00:00"/>
    <d v="2022-09-12T00:00:00"/>
    <s v="Support"/>
    <s v="emp074@abc.com"/>
    <n v="3.87"/>
    <n v="3.4"/>
    <n v="90"/>
    <n v="35000"/>
    <n v="12000"/>
    <n v="5000"/>
    <s v="5%"/>
    <n v="1750"/>
    <n v="0"/>
    <n v="53750"/>
    <n v="12"/>
    <n v="2916.6666666666665"/>
    <n v="900"/>
    <n v="0.1"/>
    <n v="5375"/>
    <s v="Not Eligible"/>
    <n v="44558.333333333336"/>
  </r>
  <r>
    <x v="74"/>
    <s v="Vignesh A"/>
    <s v="D001"/>
    <s v="QA Analyst"/>
    <s v="M"/>
    <d v="1993-11-20T00:00:00"/>
    <d v="2018-03-19T00:00:00"/>
    <s v="IT"/>
    <s v="emp075@abc.com"/>
    <n v="8.35"/>
    <n v="4.3"/>
    <n v="94"/>
    <n v="47000"/>
    <n v="16000"/>
    <n v="7000"/>
    <s v="5%"/>
    <n v="2350"/>
    <n v="0"/>
    <n v="72350"/>
    <n v="12"/>
    <n v="3916.6666666666665"/>
    <n v="1500"/>
    <n v="0.1"/>
    <n v="7235"/>
    <s v="Eligible"/>
    <n v="59698.333333333336"/>
  </r>
  <r>
    <x v="75"/>
    <s v="Sowmya L"/>
    <s v="D002"/>
    <s v="HR Assistant"/>
    <s v="F"/>
    <d v="1997-04-11T00:00:00"/>
    <d v="2023-03-20T00:00:00"/>
    <s v="HR"/>
    <s v="emp076@abc.com"/>
    <n v="3.34"/>
    <n v="3.3"/>
    <n v="89"/>
    <n v="29000"/>
    <n v="9500"/>
    <n v="3500"/>
    <s v="5%"/>
    <n v="1450"/>
    <n v="0"/>
    <n v="43450"/>
    <n v="12"/>
    <n v="2416.6666666666665"/>
    <n v="700"/>
    <n v="0.05"/>
    <n v="2172.5"/>
    <s v="Not Eligible"/>
    <n v="38160.833333333336"/>
  </r>
  <r>
    <x v="76"/>
    <s v="Balaji R"/>
    <s v="D003"/>
    <s v="Accounts Executive"/>
    <s v="M"/>
    <d v="1991-08-27T00:00:00"/>
    <d v="2017-12-14T00:00:00"/>
    <s v="Finance"/>
    <s v="emp077@abc.com"/>
    <n v="8.61"/>
    <n v="4.5999999999999996"/>
    <n v="98"/>
    <n v="50000"/>
    <n v="16500"/>
    <n v="7500"/>
    <s v="10%"/>
    <n v="5000"/>
    <n v="5000"/>
    <n v="84000"/>
    <n v="12"/>
    <n v="4166.666666666667"/>
    <n v="1600"/>
    <n v="0.2"/>
    <n v="16800"/>
    <s v="Eligible"/>
    <n v="61433.333333333336"/>
  </r>
  <r>
    <x v="77"/>
    <s v="Anusha K"/>
    <s v="D004"/>
    <s v="Sales Coordinator"/>
    <s v="F"/>
    <d v="1998-05-16T00:00:00"/>
    <d v="2022-07-11T00:00:00"/>
    <s v="Sales"/>
    <s v="emp078@abc.com"/>
    <n v="4.04"/>
    <n v="3.5"/>
    <n v="91"/>
    <n v="30500"/>
    <n v="10200"/>
    <n v="3800"/>
    <s v="5%"/>
    <n v="1525"/>
    <n v="0"/>
    <n v="46025"/>
    <n v="12"/>
    <n v="2541.6666666666665"/>
    <n v="800"/>
    <n v="0.05"/>
    <n v="2301.25"/>
    <s v="Not Eligible"/>
    <n v="40382.083333333336"/>
  </r>
  <r>
    <x v="78"/>
    <s v="Senthil M"/>
    <s v="D005"/>
    <s v="Process Associate"/>
    <s v="M"/>
    <d v="1994-01-31T00:00:00"/>
    <d v="2020-01-27T00:00:00"/>
    <s v="Operations"/>
    <s v="emp079@abc.com"/>
    <n v="6.49"/>
    <n v="4.0999999999999996"/>
    <n v="95"/>
    <n v="38500"/>
    <n v="12800"/>
    <n v="5200"/>
    <s v="5%"/>
    <n v="1925"/>
    <n v="5000"/>
    <n v="63425"/>
    <n v="12"/>
    <n v="3208.3333333333335"/>
    <n v="1000"/>
    <n v="0.1"/>
    <n v="6342.5"/>
    <s v="Eligible"/>
    <n v="52874.166666666664"/>
  </r>
  <r>
    <x v="79"/>
    <s v="Harini S"/>
    <s v="D006"/>
    <s v="Technical Support"/>
    <s v="F"/>
    <d v="1995-09-09T00:00:00"/>
    <d v="2021-11-22T00:00:00"/>
    <s v="Support"/>
    <s v="emp080@abc.com"/>
    <n v="4.67"/>
    <n v="3.7"/>
    <n v="93"/>
    <n v="34500"/>
    <n v="11800"/>
    <n v="4700"/>
    <s v="5%"/>
    <n v="1725"/>
    <n v="0"/>
    <n v="52725"/>
    <n v="12"/>
    <n v="2875"/>
    <n v="850"/>
    <n v="0.1"/>
    <n v="5272.5"/>
    <s v="Not Eligible"/>
    <n v="43727.5"/>
  </r>
  <r>
    <x v="80"/>
    <s v="Arjun P"/>
    <s v="D001"/>
    <s v="Cloud Engineer"/>
    <s v="M"/>
    <d v="1990-04-04T00:00:00"/>
    <d v="2016-02-08T00:00:00"/>
    <s v="IT"/>
    <s v="emp081@abc.com"/>
    <n v="10.46"/>
    <n v="4.8"/>
    <n v="99"/>
    <n v="72000"/>
    <n v="24500"/>
    <n v="12500"/>
    <s v="10%"/>
    <n v="7200"/>
    <n v="5000"/>
    <n v="121200"/>
    <n v="12"/>
    <n v="6000"/>
    <n v="3000"/>
    <n v="0.2"/>
    <n v="24240"/>
    <s v="Eligible"/>
    <n v="87960"/>
  </r>
  <r>
    <x v="81"/>
    <s v="Divya K"/>
    <s v="D002"/>
    <s v="HR Manager"/>
    <s v="F"/>
    <d v="1989-07-19T00:00:00"/>
    <d v="2015-05-18T00:00:00"/>
    <s v="HR"/>
    <s v="emp082@abc.com"/>
    <n v="11.18"/>
    <n v="4.2"/>
    <n v="96"/>
    <n v="80000"/>
    <n v="28000"/>
    <n v="15000"/>
    <s v="10%"/>
    <n v="8000"/>
    <n v="5000"/>
    <n v="136000"/>
    <n v="12"/>
    <n v="6666.666666666667"/>
    <n v="3500"/>
    <n v="0.2"/>
    <n v="27200"/>
    <s v="Eligible"/>
    <n v="98633.333333333328"/>
  </r>
  <r>
    <x v="82"/>
    <s v="Pradeep S"/>
    <s v="D003"/>
    <s v="Senior Auditor"/>
    <s v="M"/>
    <d v="1987-10-10T00:00:00"/>
    <d v="2013-09-02T00:00:00"/>
    <s v="Finance"/>
    <s v="emp083@abc.com"/>
    <n v="12.89"/>
    <n v="4.9000000000000004"/>
    <n v="97"/>
    <n v="78000"/>
    <n v="27000"/>
    <n v="14000"/>
    <s v="10%"/>
    <n v="7800"/>
    <n v="5000"/>
    <n v="131800"/>
    <n v="12"/>
    <n v="6500"/>
    <n v="3300"/>
    <n v="0.2"/>
    <n v="26360"/>
    <s v="Eligible"/>
    <n v="95640"/>
  </r>
  <r>
    <x v="83"/>
    <s v="Shalini R"/>
    <s v="D004"/>
    <s v="Sales Manager"/>
    <s v="F"/>
    <d v="1991-03-25T00:00:00"/>
    <d v="2017-01-23T00:00:00"/>
    <s v="Sales"/>
    <s v="emp084@abc.com"/>
    <n v="9.5"/>
    <n v="4"/>
    <n v="94"/>
    <n v="65000"/>
    <n v="22000"/>
    <n v="10000"/>
    <s v="10%"/>
    <n v="6500"/>
    <n v="0"/>
    <n v="103500"/>
    <n v="12"/>
    <n v="5416.666666666667"/>
    <n v="2500"/>
    <n v="0.2"/>
    <n v="20700"/>
    <s v="Eligible"/>
    <n v="74883.333333333328"/>
  </r>
  <r>
    <x v="84"/>
    <s v="Gopal N"/>
    <s v="D005"/>
    <s v="Operations Manager"/>
    <s v="M"/>
    <d v="1988-12-06T00:00:00"/>
    <d v="2014-06-16T00:00:00"/>
    <s v="Operations"/>
    <s v="emp085@abc.com"/>
    <n v="12.11"/>
    <n v="4.7"/>
    <n v="98"/>
    <n v="74000"/>
    <n v="25000"/>
    <n v="12000"/>
    <s v="10%"/>
    <n v="7400"/>
    <n v="5000"/>
    <n v="123400"/>
    <n v="12"/>
    <n v="6166.666666666667"/>
    <n v="3000"/>
    <n v="0.2"/>
    <n v="24680"/>
    <s v="Eligible"/>
    <n v="89553.333333333328"/>
  </r>
  <r>
    <x v="85"/>
    <s v="Neha V"/>
    <s v="D006"/>
    <s v="Senior Support"/>
    <s v="F"/>
    <d v="1993-02-28T00:00:00"/>
    <d v="2019-10-14T00:00:00"/>
    <s v="Support"/>
    <s v="emp086@abc.com"/>
    <n v="6.78"/>
    <n v="3.8"/>
    <n v="92"/>
    <n v="42000"/>
    <n v="14000"/>
    <n v="6000"/>
    <s v="5%"/>
    <n v="2100"/>
    <n v="0"/>
    <n v="64100"/>
    <n v="12"/>
    <n v="3500"/>
    <n v="1200"/>
    <n v="0.1"/>
    <n v="6410"/>
    <s v="Eligible"/>
    <n v="52990"/>
  </r>
  <r>
    <x v="86"/>
    <s v="Harikrishnan M"/>
    <s v="D001"/>
    <s v="System Admin"/>
    <s v="M"/>
    <d v="1992-06-05T00:00:00"/>
    <d v="2018-08-20T00:00:00"/>
    <s v="IT"/>
    <s v="emp087@abc.com"/>
    <n v="7.93"/>
    <n v="4.5"/>
    <n v="95"/>
    <n v="51000"/>
    <n v="17500"/>
    <n v="8000"/>
    <s v="10%"/>
    <n v="5100"/>
    <n v="5000"/>
    <n v="86600"/>
    <n v="12"/>
    <n v="4250"/>
    <n v="1800"/>
    <n v="0.2"/>
    <n v="17320"/>
    <s v="Eligible"/>
    <n v="63230"/>
  </r>
  <r>
    <x v="87"/>
    <s v="Swathi L"/>
    <s v="D002"/>
    <s v="Payroll Executive"/>
    <s v="F"/>
    <d v="1996-11-13T00:00:00"/>
    <d v="2022-02-07T00:00:00"/>
    <s v="HR"/>
    <s v="emp088@abc.com"/>
    <n v="4.46"/>
    <n v="3.9"/>
    <n v="93"/>
    <n v="37000"/>
    <n v="12500"/>
    <n v="5000"/>
    <s v="5%"/>
    <n v="1850"/>
    <n v="0"/>
    <n v="56350"/>
    <n v="12"/>
    <n v="3083.3333333333335"/>
    <n v="900"/>
    <n v="0.1"/>
    <n v="5635"/>
    <s v="Not Eligible"/>
    <n v="46731.666666666664"/>
  </r>
  <r>
    <x v="88"/>
    <s v="Naveen R"/>
    <s v="D003"/>
    <s v="Tax Analyst"/>
    <s v="M"/>
    <d v="1994-08-22T00:00:00"/>
    <d v="2020-12-01T00:00:00"/>
    <s v="Finance"/>
    <s v="emp089@abc.com"/>
    <n v="5.65"/>
    <n v="4.5999999999999996"/>
    <n v="97"/>
    <n v="49000"/>
    <n v="16000"/>
    <n v="7000"/>
    <s v="5%"/>
    <n v="2450"/>
    <n v="5000"/>
    <n v="79450"/>
    <n v="12"/>
    <n v="4083.3333333333335"/>
    <n v="1500"/>
    <n v="0.1"/>
    <n v="7945"/>
    <s v="Eligible"/>
    <n v="65921.666666666672"/>
  </r>
  <r>
    <x v="89"/>
    <s v="Janani P"/>
    <s v="D004"/>
    <s v="Sales Executive"/>
    <s v="F"/>
    <d v="1997-09-27T00:00:00"/>
    <d v="2023-05-15T00:00:00"/>
    <s v="Sales"/>
    <s v="emp090@abc.com"/>
    <n v="3.19"/>
    <n v="3.5"/>
    <n v="90"/>
    <n v="31500"/>
    <n v="10300"/>
    <n v="3900"/>
    <s v="5%"/>
    <n v="1575"/>
    <n v="0"/>
    <n v="47275"/>
    <n v="12"/>
    <n v="2625"/>
    <n v="850"/>
    <n v="0.05"/>
    <n v="2363.75"/>
    <s v="Not Eligible"/>
    <n v="41436.25"/>
  </r>
  <r>
    <x v="90"/>
    <s v="Sarath K"/>
    <s v="D005"/>
    <s v="Operations Analyst"/>
    <s v="M"/>
    <d v="1995-01-18T00:00:00"/>
    <d v="2021-03-08T00:00:00"/>
    <s v="Operations"/>
    <s v="emp091@abc.com"/>
    <n v="5.38"/>
    <n v="4.0999999999999996"/>
    <n v="94"/>
    <n v="40000"/>
    <n v="13500"/>
    <n v="5500"/>
    <s v="5%"/>
    <n v="2000"/>
    <n v="0"/>
    <n v="61000"/>
    <n v="12"/>
    <n v="3333.3333333333335"/>
    <n v="1100"/>
    <n v="0.1"/>
    <n v="6100"/>
    <s v="Eligible"/>
    <n v="50466.666666666664"/>
  </r>
  <r>
    <x v="91"/>
    <s v="Preethi M"/>
    <s v="D006"/>
    <s v="Support Associate"/>
    <s v="F"/>
    <d v="1998-06-23T00:00:00"/>
    <d v="2022-10-17T00:00:00"/>
    <s v="Support"/>
    <s v="emp092@abc.com"/>
    <n v="3.77"/>
    <n v="3.6"/>
    <n v="91"/>
    <n v="32500"/>
    <n v="11000"/>
    <n v="4300"/>
    <s v="5%"/>
    <n v="1625"/>
    <n v="0"/>
    <n v="49425"/>
    <n v="12"/>
    <n v="2708.3333333333335"/>
    <n v="800"/>
    <n v="0.05"/>
    <n v="2471.25"/>
    <s v="Not Eligible"/>
    <n v="43445.416666666664"/>
  </r>
  <r>
    <x v="92"/>
    <s v="Vijay A"/>
    <s v="D001"/>
    <s v="Data Analyst"/>
    <s v="M"/>
    <d v="1991-11-29T00:00:00"/>
    <d v="2017-04-10T00:00:00"/>
    <s v="IT"/>
    <s v="emp093@abc.com"/>
    <n v="9.2899999999999991"/>
    <n v="4.8"/>
    <n v="99"/>
    <n v="58000"/>
    <n v="20000"/>
    <n v="9500"/>
    <s v="10%"/>
    <n v="5800"/>
    <n v="5000"/>
    <n v="98300"/>
    <n v="12"/>
    <n v="4833.333333333333"/>
    <n v="2200"/>
    <n v="0.2"/>
    <n v="19660"/>
    <s v="Eligible"/>
    <n v="71606.666666666672"/>
  </r>
  <r>
    <x v="93"/>
    <s v="Shreya D"/>
    <s v="D002"/>
    <s v="Talent Acquisition"/>
    <s v="F"/>
    <d v="1994-03-07T00:00:00"/>
    <d v="2020-06-29T00:00:00"/>
    <s v="HR"/>
    <s v="emp094@abc.com"/>
    <n v="6.07"/>
    <n v="3.7"/>
    <n v="92"/>
    <n v="43000"/>
    <n v="15000"/>
    <n v="6500"/>
    <s v="5%"/>
    <n v="2150"/>
    <n v="0"/>
    <n v="66650"/>
    <n v="12"/>
    <n v="3583.3333333333335"/>
    <n v="1200"/>
    <n v="0.1"/>
    <n v="6665"/>
    <s v="Eligible"/>
    <n v="55201.666666666664"/>
  </r>
  <r>
    <x v="94"/>
    <s v="Murugan S"/>
    <s v="D003"/>
    <s v="Senior Accountant"/>
    <s v="M"/>
    <d v="1989-05-12T00:00:00"/>
    <d v="2015-12-21T00:00:00"/>
    <s v="Finance"/>
    <s v="emp095@abc.com"/>
    <n v="10.59"/>
    <n v="4.4000000000000004"/>
    <n v="96"/>
    <n v="67000"/>
    <n v="22500"/>
    <n v="11000"/>
    <s v="10%"/>
    <n v="6700"/>
    <n v="5000"/>
    <n v="112200"/>
    <n v="12"/>
    <n v="5583.333333333333"/>
    <n v="2900"/>
    <n v="0.2"/>
    <n v="22440"/>
    <s v="Eligible"/>
    <n v="81276.666666666672"/>
  </r>
  <r>
    <x v="95"/>
    <s v="Ritika P"/>
    <s v="D004"/>
    <s v="Account Manager"/>
    <s v="F"/>
    <d v="1993-12-08T00:00:00"/>
    <d v="2019-09-16T00:00:00"/>
    <s v="Sales"/>
    <s v="emp096@abc.com"/>
    <n v="6.86"/>
    <n v="3.3"/>
    <n v="89"/>
    <n v="56000"/>
    <n v="18500"/>
    <n v="8500"/>
    <s v="10%"/>
    <n v="5600"/>
    <n v="0"/>
    <n v="88600"/>
    <n v="12"/>
    <n v="4666.666666666667"/>
    <n v="1800"/>
    <n v="0.2"/>
    <n v="17720"/>
    <s v="Eligible"/>
    <n v="64413.333333333328"/>
  </r>
  <r>
    <x v="96"/>
    <s v="Kannan R"/>
    <s v="D005"/>
    <s v="Shift Supervisor"/>
    <s v="M"/>
    <d v="1992-02-14T00:00:00"/>
    <d v="2018-01-29T00:00:00"/>
    <s v="Operations"/>
    <s v="emp097@abc.com"/>
    <n v="8.49"/>
    <n v="4"/>
    <n v="95"/>
    <n v="45000"/>
    <n v="15000"/>
    <n v="7000"/>
    <s v="5%"/>
    <n v="2250"/>
    <n v="5000"/>
    <n v="74250"/>
    <n v="12"/>
    <n v="3750"/>
    <n v="1300"/>
    <n v="0.1"/>
    <n v="7425"/>
    <s v="Eligible"/>
    <n v="61775"/>
  </r>
  <r>
    <x v="97"/>
    <s v="Anjali N"/>
    <s v="D006"/>
    <s v="Customer Success"/>
    <s v="F"/>
    <d v="1996-07-30T00:00:00"/>
    <d v="2021-12-13T00:00:00"/>
    <s v="Support"/>
    <s v="emp098@abc.com"/>
    <n v="4.6100000000000003"/>
    <n v="3.8"/>
    <n v="93"/>
    <n v="35500"/>
    <n v="12100"/>
    <n v="5000"/>
    <s v="5%"/>
    <n v="1775"/>
    <n v="0"/>
    <n v="54375"/>
    <n v="12"/>
    <n v="2958.3333333333335"/>
    <n v="900"/>
    <n v="0.1"/>
    <n v="5437.5"/>
    <s v="Not Eligible"/>
    <n v="45079.166666666664"/>
  </r>
  <r>
    <x v="98"/>
    <s v="Sathish K"/>
    <s v="D001"/>
    <s v="Backend Developer"/>
    <s v="M"/>
    <d v="1990-09-04T00:00:00"/>
    <d v="2016-10-05T00:00:00"/>
    <s v="IT"/>
    <s v="emp099@abc.com"/>
    <n v="9.8000000000000007"/>
    <n v="4.7"/>
    <n v="98"/>
    <n v="64000"/>
    <n v="21500"/>
    <n v="10000"/>
    <s v="10%"/>
    <n v="6400"/>
    <n v="5000"/>
    <n v="106900"/>
    <n v="12"/>
    <n v="5333.333333333333"/>
    <n v="2600"/>
    <n v="0.2"/>
    <n v="21380"/>
    <s v="Eligible"/>
    <n v="77586.666666666672"/>
  </r>
  <r>
    <x v="99"/>
    <s v="Komala S"/>
    <s v="D002"/>
    <s v="HR Coordinator"/>
    <s v="F"/>
    <d v="1997-02-26T00:00:00"/>
    <d v="2023-04-24T00:00:00"/>
    <s v="HR"/>
    <s v="emp100@abc.com"/>
    <n v="3.25"/>
    <n v="3.6"/>
    <n v="91"/>
    <n v="30000"/>
    <n v="9800"/>
    <n v="3600"/>
    <s v="5%"/>
    <n v="1500"/>
    <n v="0"/>
    <n v="44900"/>
    <n v="12"/>
    <n v="2500"/>
    <n v="750"/>
    <n v="0.05"/>
    <n v="2245"/>
    <s v="Not Eligible"/>
    <n v="394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D57B0-73D6-49D1-97E4-F6B88DAF17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0" firstHeaderRow="0" firstDataRow="1" firstDataCol="1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Gross Salary" fld="13" subtotal="count" baseField="22" baseItem="2"/>
    <dataField name="Sum of Gross Salary" fld="13" baseField="0" baseItem="0"/>
    <dataField name="Average of Gross Salary" fld="13" subtotal="average" baseField="22" baseItem="0"/>
  </dataFields>
  <formats count="1">
    <format dxfId="0">
      <pivotArea collapsedLevelsAreSubtotals="1" fieldPosition="0">
        <references count="2">
          <reference field="4294967294" count="1" selected="0">
            <x v="2"/>
          </reference>
          <reference field="2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2EBEE-2149-41E6-A310-F9C97C9528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B23" firstHeaderRow="1" firstDataRow="1" firstDataCol="1"/>
  <pivotFields count="26"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Salary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18367-5393-40DA-AAAD-E4C633B5563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:B15" firstHeaderRow="1" firstDataRow="1" firstDataCol="1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ary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6EFEA-A22B-494F-91EC-ECFEF9734F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otal Employe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D8E16-9D6A-4854-A84F-CBF0BF291EB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3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Min of Salary" fld="13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E7B16-1142-4A9E-9CB2-A26384835C9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Max of Salary" fld="1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EE2B4-18BE-4260-B929-6D61FC0CD5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3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Average Salary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2AD74-AA72-4855-8096-6991FCFA4B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B3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otal Salar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FD2BF-2EB9-457C-8D37-8783D5F640E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8:H15" firstHeaderRow="1" firstDataRow="1" firstDataCol="1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2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2"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Employee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87B61-C7F2-4F46-9233-B1B21918887C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2" showAll="0"/>
    <pivotField numFmtId="2" showAll="0"/>
    <pivotField showAll="0"/>
    <pivotField numFmtId="2" showAll="0"/>
  </pivotFields>
  <rowItems count="1">
    <i/>
  </rowItems>
  <colItems count="1">
    <i/>
  </colItems>
  <dataFields count="1">
    <dataField name="Total PF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AD744-33F4-4574-AE4F-D9276D68A477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C10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numFmtId="2" showAll="0"/>
    <pivotField showAll="0"/>
    <pivotField dataField="1" numFmtId="2" showAll="0"/>
  </pivotFields>
  <rowItems count="1">
    <i/>
  </rowItems>
  <colItems count="1">
    <i/>
  </colItems>
  <dataFields count="1">
    <dataField name="Lowest Paid Employee" fld="25" subtotal="min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2FA18-F1DB-412E-87A5-79DA3AAA0077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B10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numFmtId="2" showAll="0"/>
    <pivotField showAll="0"/>
    <pivotField dataField="1" numFmtId="2" showAll="0"/>
  </pivotFields>
  <rowItems count="1">
    <i/>
  </rowItems>
  <colItems count="1">
    <i/>
  </colItems>
  <dataFields count="1">
    <dataField name="Highest Paid Employee" fld="25" subtotal="max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8AB8A-02CE-44FB-8EFB-77A061179AA7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  <pivotField numFmtId="2" showAll="0"/>
    <pivotField numFmtId="2" showAll="0"/>
    <pivotField showAll="0"/>
    <pivotField numFmtId="2" showAll="0"/>
  </pivotFields>
  <rowItems count="1">
    <i/>
  </rowItems>
  <colItems count="1">
    <i/>
  </colItems>
  <dataFields count="1">
    <dataField name="Total Bonu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77133-6AC3-4621-AA17-AD4C0E5BD841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numFmtId="2" showAll="0"/>
    <pivotField showAll="0"/>
    <pivotField dataField="1" numFmtId="2" showAll="0"/>
  </pivotFields>
  <rowItems count="1">
    <i/>
  </rowItems>
  <colItems count="1">
    <i/>
  </colItems>
  <dataFields count="1">
    <dataField name="Average Salary" fld="2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E0B7C-9F0F-4AE1-B274-588F6F0D1C0D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numFmtId="2" showAll="0"/>
    <pivotField numFmtId="2" showAll="0"/>
    <pivotField showAll="0"/>
    <pivotField numFmtId="2" showAll="0"/>
  </pivotFields>
  <rowItems count="1">
    <i/>
  </rowItems>
  <colItems count="1">
    <i/>
  </colItems>
  <dataFields count="1">
    <dataField name="Total Gross Salar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6343A-C68D-4A9D-B19D-BE0ED3CD967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6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numFmtId="2" showAll="0"/>
    <pivotField showAll="0"/>
    <pivotField numFmtId="2" showAll="0"/>
  </pivotFields>
  <rowItems count="1">
    <i/>
  </rowItems>
  <colItems count="1">
    <i/>
  </colItems>
  <dataFields count="1">
    <dataField name="Total Employ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4FAEF-94B1-4791-969E-46E47B34F8DB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C7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numFmtId="2" showAll="0"/>
    <pivotField showAll="0"/>
    <pivotField dataField="1" numFmtId="2" showAll="0"/>
  </pivotFields>
  <rowItems count="1">
    <i/>
  </rowItems>
  <colItems count="1">
    <i/>
  </colItems>
  <dataFields count="1">
    <dataField name="Total Net Salary" fld="2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5FDF2-18F7-4EF8-A66B-BEA435308011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B7" firstHeaderRow="1" firstDataRow="1" firstDataCol="0"/>
  <pivotFields count="26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dataField="1" numFmtId="2" showAll="0"/>
    <pivotField showAll="0"/>
    <pivotField numFmtId="2" showAll="0"/>
  </pivotFields>
  <rowItems count="1">
    <i/>
  </rowItems>
  <colItems count="1">
    <i/>
  </colItems>
  <dataFields count="1">
    <dataField name="Total Tax" fld="2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BB586-1EA6-4B97-B890-418727B6FA89}" name="Department" displayName="Department" ref="A107:B113" totalsRowShown="0" headerRowDxfId="39" headerRowBorderDxfId="38" tableBorderDxfId="37" totalsRowBorderDxfId="36">
  <autoFilter ref="A107:B113" xr:uid="{A83BB586-1EA6-4B97-B890-418727B6FA89}"/>
  <tableColumns count="2">
    <tableColumn id="1" xr3:uid="{C416C2D8-6167-4933-84BB-6E307531191D}" name="Department" dataDxfId="35"/>
    <tableColumn id="2" xr3:uid="{D0180ABC-6465-4992-AB5B-DBBA383EDCAA}" name="Dept ID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557C94-15C2-47B9-8B78-E151342CAB36}" name="Email" displayName="Email" ref="A116:B119" totalsRowShown="0" tableBorderDxfId="33">
  <autoFilter ref="A116:B119" xr:uid="{DA557C94-15C2-47B9-8B78-E151342CAB36}"/>
  <tableColumns count="2">
    <tableColumn id="1" xr3:uid="{35F6EB50-3397-4B40-BA35-17D33DB8A817}" name="Column1"/>
    <tableColumn id="2" xr3:uid="{077C8B1A-211B-4565-9C23-88C4DE8D7930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50A654-71CE-4C8B-9B4B-C18AD4C2F40F}" name="Table4" displayName="Table4" ref="D107:F110" totalsRowShown="0">
  <autoFilter ref="D107:F110" xr:uid="{AE50A654-71CE-4C8B-9B4B-C18AD4C2F40F}"/>
  <tableColumns count="3">
    <tableColumn id="3" xr3:uid="{4FDD5798-A94D-4281-8EBF-C65E959C100C}" name="Slab"/>
    <tableColumn id="1" xr3:uid="{11D3F57C-B483-4DAA-9206-B704C1EBFDB5}" name="Gross Salary"/>
    <tableColumn id="2" xr3:uid="{91EE5C4E-7EC1-4E42-97BF-ECB0AB714A95}" name="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A49C1D-8ED0-46B1-83FD-D0FA0DCB9714}" name="Table6" displayName="Table6" ref="L106:N112" totalsRowShown="0">
  <autoFilter ref="L106:N112" xr:uid="{DDA49C1D-8ED0-46B1-83FD-D0FA0DCB9714}"/>
  <tableColumns count="3">
    <tableColumn id="1" xr3:uid="{DCE95B40-AD9D-4E24-BE6F-926255A6893E}" name="DEPT" dataDxfId="32"/>
    <tableColumn id="2" xr3:uid="{F0EECC2A-06B5-413A-8645-060F98F64F29}" name="Salary"/>
    <tableColumn id="3" xr3:uid="{D0FE5773-CB52-410B-AD17-3169B2E43A31}" name="Column1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6A7388-3E5A-4211-86A1-20A976FA450F}" name="Table7" displayName="Table7" ref="L116:M122" totalsRowShown="0">
  <autoFilter ref="L116:M122" xr:uid="{F96A7388-3E5A-4211-86A1-20A976FA450F}"/>
  <tableColumns count="2">
    <tableColumn id="1" xr3:uid="{D6C398A2-F6E0-49D7-ACC6-65410BEFC974}" name="Dept" dataDxfId="30"/>
    <tableColumn id="2" xr3:uid="{325FD059-41F5-4E02-8501-3CEBEEBAE7B3}" name="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4C7A23-100B-478D-9557-1A9AC036ABD5}" name="Table5" displayName="Table5" ref="A123:B132" totalsRowShown="0">
  <autoFilter ref="A123:B132" xr:uid="{754C7A23-100B-478D-9557-1A9AC036ABD5}"/>
  <tableColumns count="2">
    <tableColumn id="1" xr3:uid="{ACE73B36-9BF7-4016-813F-864FB74EB0F6}" name="Content"/>
    <tableColumn id="2" xr3:uid="{E35B2A7E-68BC-41E3-BA5D-A7E78955D4F0}" name="Employee 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80F3D6-F914-4737-9A93-398FFE9C258B}" name="Table9" displayName="Table9" ref="A2:Z102" totalsRowShown="0" headerRowDxfId="29" dataDxfId="28" tableBorderDxfId="27">
  <autoFilter ref="A2:Z102" xr:uid="{A880F3D6-F914-4737-9A93-398FFE9C258B}"/>
  <tableColumns count="26">
    <tableColumn id="1" xr3:uid="{BFF20E46-F8D7-45A8-B12F-928A716D9352}" name="EmployeeID" dataDxfId="26"/>
    <tableColumn id="2" xr3:uid="{39253960-2092-4F15-8D06-037C3D6E9266}" name="EmployeeName" dataDxfId="25"/>
    <tableColumn id="3" xr3:uid="{2236839F-91A5-48C1-B5DF-BE6EBD6B83E4}" name="DepartmentID" dataDxfId="24"/>
    <tableColumn id="4" xr3:uid="{591269F6-032A-441C-816A-EBC39B4466A4}" name="Designation" dataDxfId="23"/>
    <tableColumn id="5" xr3:uid="{09A7C42F-1426-4BE6-86C9-3219B0E0A398}" name="Gender" dataDxfId="22"/>
    <tableColumn id="6" xr3:uid="{D6EBC0BE-BDD1-49F3-90BF-7EA2AEBBCFD3}" name="DOB" dataDxfId="21"/>
    <tableColumn id="7" xr3:uid="{BD33802C-907D-43EF-9458-A7695C2CBF01}" name="DOJ" dataDxfId="20"/>
    <tableColumn id="8" xr3:uid="{D3474C98-19F5-43F0-A8BF-CE71796B3CE3}" name="Department" dataDxfId="19">
      <calculatedColumnFormula>VLOOKUP(TRIM('Employee data'!$C3),$A$108:$B$113,2,FALSE)</calculatedColumnFormula>
    </tableColumn>
    <tableColumn id="9" xr3:uid="{B790A7D0-D26E-4A5A-A795-6396788C2DE4}" name="Email ID" dataDxfId="18"/>
    <tableColumn id="10" xr3:uid="{7030A896-1CB2-498D-AD5D-369A68B7F2F3}" name="Expereince" dataDxfId="17">
      <calculatedColumnFormula>ROUND(YEARFRAC('Employee data'!$G3,TODAY()),2)</calculatedColumnFormula>
    </tableColumn>
    <tableColumn id="11" xr3:uid="{59464DC3-DC33-4172-994D-9B7C6807FDDE}" name="Employee rating" dataDxfId="16"/>
    <tableColumn id="12" xr3:uid="{A4417A1F-0491-446D-A2F4-3382D887ED5D}" name="Attendance" dataDxfId="15"/>
    <tableColumn id="13" xr3:uid="{4DA2375E-7665-475D-95F0-519606BB470D}" name="BasicPay" dataDxfId="14"/>
    <tableColumn id="14" xr3:uid="{F54C8FF3-0DBA-46D0-B5D0-AC30E6D327D7}" name="HRA" dataDxfId="13"/>
    <tableColumn id="15" xr3:uid="{C0C217A7-660A-4405-85FC-775F8BB0464A}" name="Allowance" dataDxfId="12"/>
    <tableColumn id="16" xr3:uid="{6DA94C38-218E-4EAC-8986-47BC308C1C49}" name="1. Bonus" dataDxfId="11">
      <calculatedColumnFormula>IF('Employee data'!$M3&gt;=50000,"10%","5%")</calculatedColumnFormula>
    </tableColumn>
    <tableColumn id="17" xr3:uid="{DE104E77-C8E0-4235-BC4C-A70681297BDA}" name="Bonus Amount" dataDxfId="10">
      <calculatedColumnFormula>M3*P3</calculatedColumnFormula>
    </tableColumn>
    <tableColumn id="18" xr3:uid="{27B7BB25-4CE7-49A6-92CD-A7A32AB133D8}" name="3. Performance Incentive" dataDxfId="9">
      <calculatedColumnFormula>IF(AND('Employee data'!$K3&gt;=4,'Employee data'!$L3&gt;=95),5000,0)</calculatedColumnFormula>
    </tableColumn>
    <tableColumn id="19" xr3:uid="{DDF7EFBE-FC6F-4BD5-B21C-E1E6F2EA8697}" name="Gross Salary" dataDxfId="8">
      <calculatedColumnFormula>M3+N3+O3+Q3+R3</calculatedColumnFormula>
    </tableColumn>
    <tableColumn id="20" xr3:uid="{23624FA5-1B92-46C4-BD7E-07D7D2E2AECE}" name="PFPct" dataDxfId="7"/>
    <tableColumn id="21" xr3:uid="{9EC0021E-8787-4647-BF5D-9B3B3624648A}" name="PF Deduction" dataDxfId="6">
      <calculatedColumnFormula>'Employee data'!$M3/'Employee data'!$T3</calculatedColumnFormula>
    </tableColumn>
    <tableColumn id="22" xr3:uid="{6867FD92-FB78-4860-B8DD-3F913AE7D9F7}" name="OtherDeduction" dataDxfId="5"/>
    <tableColumn id="23" xr3:uid="{5F6DF465-8B42-415B-9059-0B11EAD38ED5}" name="2. Income Tax" dataDxfId="4">
      <calculatedColumnFormula>IF('Employee data'!$S3&gt;=80000,20%,IF('Employee data'!$S3&gt;=50000,10%,5%))</calculatedColumnFormula>
    </tableColumn>
    <tableColumn id="24" xr3:uid="{8D29E560-595E-43C0-B604-BE4D3589B3A9}" name="Tax amount" dataDxfId="3">
      <calculatedColumnFormula>S3*W3</calculatedColumnFormula>
    </tableColumn>
    <tableColumn id="25" xr3:uid="{D0AC9276-7A4C-4054-ADFD-C261F6C6A952}" name="4. Leave Bonus Eligibility" dataDxfId="2">
      <calculatedColumnFormula>IF(OR('Employee data'!$J3&gt;5,'Employee data'!$L3&gt;98),"Eligible","Not Eligible")</calculatedColumnFormula>
    </tableColumn>
    <tableColumn id="26" xr3:uid="{2761191F-E914-47DA-A7F6-FDE2D9A3FFF1}" name="Net Salary" dataDxfId="1">
      <calculatedColumnFormula>S3-X3-U3-V3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9AEF-6D14-4FA7-B098-94D52C125298}">
  <dimension ref="A1:Z132"/>
  <sheetViews>
    <sheetView zoomScaleNormal="100" workbookViewId="0">
      <pane ySplit="2" topLeftCell="A3" activePane="bottomLeft" state="frozen"/>
      <selection activeCell="L1" sqref="L1"/>
      <selection pane="bottomLeft" activeCell="Y3" sqref="Y3"/>
    </sheetView>
  </sheetViews>
  <sheetFormatPr defaultRowHeight="14.4" x14ac:dyDescent="0.3"/>
  <cols>
    <col min="1" max="1" width="14.33203125" customWidth="1"/>
    <col min="2" max="2" width="16.21875" customWidth="1"/>
    <col min="3" max="3" width="14.77734375" customWidth="1"/>
    <col min="4" max="4" width="18.44140625" bestFit="1" customWidth="1"/>
    <col min="5" max="5" width="11.5546875" bestFit="1" customWidth="1"/>
    <col min="6" max="7" width="10.33203125" bestFit="1" customWidth="1"/>
    <col min="8" max="8" width="14.5546875" bestFit="1" customWidth="1"/>
    <col min="9" max="9" width="16.77734375" bestFit="1" customWidth="1"/>
    <col min="10" max="10" width="12" customWidth="1"/>
    <col min="11" max="11" width="16.5546875" customWidth="1"/>
    <col min="12" max="12" width="12.6640625" customWidth="1"/>
    <col min="13" max="17" width="16.33203125" customWidth="1"/>
    <col min="18" max="18" width="22" customWidth="1"/>
    <col min="19" max="19" width="16.33203125" customWidth="1"/>
    <col min="21" max="21" width="14" customWidth="1"/>
    <col min="22" max="22" width="16.33203125" customWidth="1"/>
    <col min="23" max="23" width="12.5546875" customWidth="1"/>
    <col min="24" max="24" width="16.33203125" customWidth="1"/>
    <col min="25" max="25" width="21.33203125" customWidth="1"/>
    <col min="26" max="26" width="16.33203125" customWidth="1"/>
  </cols>
  <sheetData>
    <row r="1" spans="1:2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  <row r="2" spans="1:26" s="3" customFormat="1" ht="45" customHeight="1" x14ac:dyDescent="0.3">
      <c r="A2" s="37" t="s">
        <v>0</v>
      </c>
      <c r="B2" s="37" t="s">
        <v>1</v>
      </c>
      <c r="C2" s="37" t="s">
        <v>234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2</v>
      </c>
      <c r="I2" s="37" t="s">
        <v>238</v>
      </c>
      <c r="J2" s="37" t="s">
        <v>226</v>
      </c>
      <c r="K2" s="37" t="s">
        <v>224</v>
      </c>
      <c r="L2" s="37" t="s">
        <v>225</v>
      </c>
      <c r="M2" s="37" t="s">
        <v>7</v>
      </c>
      <c r="N2" s="37" t="s">
        <v>8</v>
      </c>
      <c r="O2" s="37" t="s">
        <v>9</v>
      </c>
      <c r="P2" s="37" t="s">
        <v>384</v>
      </c>
      <c r="Q2" s="37" t="s">
        <v>367</v>
      </c>
      <c r="R2" s="37" t="s">
        <v>386</v>
      </c>
      <c r="S2" s="37" t="s">
        <v>221</v>
      </c>
      <c r="T2" s="37" t="s">
        <v>10</v>
      </c>
      <c r="U2" s="37" t="s">
        <v>222</v>
      </c>
      <c r="V2" s="37" t="s">
        <v>11</v>
      </c>
      <c r="W2" s="37" t="s">
        <v>385</v>
      </c>
      <c r="X2" s="37" t="s">
        <v>368</v>
      </c>
      <c r="Y2" s="37" t="s">
        <v>387</v>
      </c>
      <c r="Z2" s="37" t="s">
        <v>223</v>
      </c>
    </row>
    <row r="3" spans="1:26" x14ac:dyDescent="0.3">
      <c r="A3" s="29" t="s">
        <v>12</v>
      </c>
      <c r="B3" s="29" t="s">
        <v>13</v>
      </c>
      <c r="C3" s="29" t="s">
        <v>228</v>
      </c>
      <c r="D3" s="29" t="s">
        <v>15</v>
      </c>
      <c r="E3" s="29" t="s">
        <v>16</v>
      </c>
      <c r="F3" s="30">
        <v>34801</v>
      </c>
      <c r="G3" s="30">
        <v>44361</v>
      </c>
      <c r="H3" s="29" t="str">
        <f>VLOOKUP(TRIM('Employee data'!$C3),$A$108:$B$113,2,FALSE)</f>
        <v>IT</v>
      </c>
      <c r="I3" s="29" t="s">
        <v>235</v>
      </c>
      <c r="J3" s="31">
        <f ca="1">ROUND(YEARFRAC('Employee data'!$G3,TODAY()),2)</f>
        <v>5.14</v>
      </c>
      <c r="K3" s="29">
        <v>4.2</v>
      </c>
      <c r="L3" s="29">
        <v>96</v>
      </c>
      <c r="M3" s="29">
        <v>35000</v>
      </c>
      <c r="N3" s="29">
        <v>12000</v>
      </c>
      <c r="O3" s="29">
        <v>5000</v>
      </c>
      <c r="P3" s="29" t="str">
        <f>IF('Employee data'!$M3&gt;=50000,"10%","5%")</f>
        <v>5%</v>
      </c>
      <c r="Q3" s="29">
        <f>M3*P3</f>
        <v>1750</v>
      </c>
      <c r="R3" s="29">
        <f>IF(AND('Employee data'!$K3&gt;=4,'Employee data'!$L3&gt;=95),5000,0)</f>
        <v>5000</v>
      </c>
      <c r="S3" s="29">
        <f>M3+N3+O3+Q3+R3</f>
        <v>58750</v>
      </c>
      <c r="T3" s="29">
        <v>12</v>
      </c>
      <c r="U3" s="32">
        <f>'Employee data'!$M3/'Employee data'!$T3</f>
        <v>2916.6666666666665</v>
      </c>
      <c r="V3" s="29">
        <v>1000</v>
      </c>
      <c r="W3" s="31">
        <f>IF('Employee data'!$S3&gt;=80000,20%,IF('Employee data'!$S3&gt;=50000,10%,5%))</f>
        <v>0.1</v>
      </c>
      <c r="X3" s="31">
        <f>S3*W3</f>
        <v>5875</v>
      </c>
      <c r="Y3" s="29" t="str">
        <f ca="1">IF(OR('Employee data'!$J3&gt;5,'Employee data'!$L3&gt;98),"Eligible","Not Eligible")</f>
        <v>Eligible</v>
      </c>
      <c r="Z3" s="31">
        <f>S3-X3-U3-V3</f>
        <v>48958.333333333336</v>
      </c>
    </row>
    <row r="4" spans="1:26" x14ac:dyDescent="0.3">
      <c r="A4" s="33" t="s">
        <v>18</v>
      </c>
      <c r="B4" s="33" t="s">
        <v>19</v>
      </c>
      <c r="C4" s="33" t="s">
        <v>229</v>
      </c>
      <c r="D4" s="33" t="s">
        <v>21</v>
      </c>
      <c r="E4" s="33" t="s">
        <v>22</v>
      </c>
      <c r="F4" s="34">
        <v>34595</v>
      </c>
      <c r="G4" s="34">
        <v>43912</v>
      </c>
      <c r="H4" s="33" t="str">
        <f>VLOOKUP(TRIM('Employee data'!$C4),$A$108:$B$113,2,FALSE)</f>
        <v>HR</v>
      </c>
      <c r="I4" s="33" t="s">
        <v>236</v>
      </c>
      <c r="J4" s="35">
        <f ca="1">ROUND(YEARFRAC('Employee data'!$G4,TODAY()),2)</f>
        <v>6.37</v>
      </c>
      <c r="K4" s="33">
        <v>3.8</v>
      </c>
      <c r="L4" s="33">
        <v>94</v>
      </c>
      <c r="M4" s="33">
        <v>42000</v>
      </c>
      <c r="N4" s="33">
        <v>15000</v>
      </c>
      <c r="O4" s="33">
        <v>6000</v>
      </c>
      <c r="P4" s="33" t="str">
        <f>IF('Employee data'!$M4&gt;=50000,"10%","5%")</f>
        <v>5%</v>
      </c>
      <c r="Q4" s="33">
        <f t="shared" ref="Q4:Q67" si="0">M4*P4</f>
        <v>2100</v>
      </c>
      <c r="R4" s="33">
        <f>IF(AND('Employee data'!$K4&gt;=4,'Employee data'!$L4&gt;=95),5000,0)</f>
        <v>0</v>
      </c>
      <c r="S4" s="33">
        <f t="shared" ref="S4:S67" si="1">M4+N4+O4+Q4+R4</f>
        <v>65100</v>
      </c>
      <c r="T4" s="33">
        <v>12</v>
      </c>
      <c r="U4" s="36">
        <f>'Employee data'!$M4/'Employee data'!$T4</f>
        <v>3500</v>
      </c>
      <c r="V4" s="33">
        <v>1200</v>
      </c>
      <c r="W4" s="35">
        <f>IF('Employee data'!$S4&gt;=80000,20%,IF('Employee data'!$S4&gt;=50000,10%,5%))</f>
        <v>0.1</v>
      </c>
      <c r="X4" s="35">
        <f t="shared" ref="X4:X67" si="2">S4*W4</f>
        <v>6510</v>
      </c>
      <c r="Y4" s="33" t="str">
        <f ca="1">IF(OR('Employee data'!$J4&gt;5,'Employee data'!$L4&gt;98),"Eligible","Not Eligible")</f>
        <v>Eligible</v>
      </c>
      <c r="Z4" s="35">
        <f t="shared" ref="Z4:Z67" si="3">S4-X4-U4-V4</f>
        <v>53890</v>
      </c>
    </row>
    <row r="5" spans="1:26" x14ac:dyDescent="0.3">
      <c r="A5" s="29" t="s">
        <v>24</v>
      </c>
      <c r="B5" s="29" t="s">
        <v>25</v>
      </c>
      <c r="C5" s="29" t="s">
        <v>230</v>
      </c>
      <c r="D5" s="29" t="s">
        <v>27</v>
      </c>
      <c r="E5" s="29" t="s">
        <v>16</v>
      </c>
      <c r="F5" s="30">
        <v>33788</v>
      </c>
      <c r="G5" s="30">
        <v>43779</v>
      </c>
      <c r="H5" s="29" t="str">
        <f>VLOOKUP(TRIM('Employee data'!$C5),$A$108:$B$113,2,FALSE)</f>
        <v>Finance</v>
      </c>
      <c r="I5" s="29" t="s">
        <v>237</v>
      </c>
      <c r="J5" s="31">
        <f ca="1">ROUND(YEARFRAC('Employee data'!$G5,TODAY()),2)</f>
        <v>6.74</v>
      </c>
      <c r="K5" s="29">
        <v>4.5999999999999996</v>
      </c>
      <c r="L5" s="29">
        <v>98</v>
      </c>
      <c r="M5" s="29">
        <v>48000</v>
      </c>
      <c r="N5" s="29">
        <v>16000</v>
      </c>
      <c r="O5" s="29">
        <v>7000</v>
      </c>
      <c r="P5" s="29" t="str">
        <f>IF('Employee data'!$M5&gt;=50000,"10%","5%")</f>
        <v>5%</v>
      </c>
      <c r="Q5" s="29">
        <f t="shared" si="0"/>
        <v>2400</v>
      </c>
      <c r="R5" s="29">
        <f>IF(AND('Employee data'!$K5&gt;=4,'Employee data'!$L5&gt;=95),5000,0)</f>
        <v>5000</v>
      </c>
      <c r="S5" s="29">
        <f t="shared" si="1"/>
        <v>78400</v>
      </c>
      <c r="T5" s="29">
        <v>12</v>
      </c>
      <c r="U5" s="32">
        <f>'Employee data'!$M5/'Employee data'!$T5</f>
        <v>4000</v>
      </c>
      <c r="V5" s="29">
        <v>1500</v>
      </c>
      <c r="W5" s="31">
        <f>IF('Employee data'!$S5&gt;=80000,20%,IF('Employee data'!$S5&gt;=50000,10%,5%))</f>
        <v>0.1</v>
      </c>
      <c r="X5" s="31">
        <f t="shared" si="2"/>
        <v>7840</v>
      </c>
      <c r="Y5" s="29" t="str">
        <f ca="1">IF(OR('Employee data'!$J5&gt;5,'Employee data'!$L5&gt;98),"Eligible","Not Eligible")</f>
        <v>Eligible</v>
      </c>
      <c r="Z5" s="31">
        <f t="shared" si="3"/>
        <v>65060</v>
      </c>
    </row>
    <row r="6" spans="1:26" x14ac:dyDescent="0.3">
      <c r="A6" s="33" t="s">
        <v>28</v>
      </c>
      <c r="B6" s="33" t="s">
        <v>29</v>
      </c>
      <c r="C6" s="33" t="s">
        <v>231</v>
      </c>
      <c r="D6" s="33" t="s">
        <v>31</v>
      </c>
      <c r="E6" s="33" t="s">
        <v>22</v>
      </c>
      <c r="F6" s="34">
        <v>35116</v>
      </c>
      <c r="G6" s="34">
        <v>44566</v>
      </c>
      <c r="H6" s="33" t="str">
        <f>VLOOKUP(TRIM('Employee data'!$C6),$A$108:$B$113,2,FALSE)</f>
        <v>Sales</v>
      </c>
      <c r="I6" s="33" t="s">
        <v>239</v>
      </c>
      <c r="J6" s="35">
        <f ca="1">ROUND(YEARFRAC('Employee data'!$G6,TODAY()),2)</f>
        <v>4.59</v>
      </c>
      <c r="K6" s="33">
        <v>3.4</v>
      </c>
      <c r="L6" s="33">
        <v>91</v>
      </c>
      <c r="M6" s="33">
        <v>30000</v>
      </c>
      <c r="N6" s="33">
        <v>10000</v>
      </c>
      <c r="O6" s="33">
        <v>4000</v>
      </c>
      <c r="P6" s="33" t="str">
        <f>IF('Employee data'!$M6&gt;=50000,"10%","5%")</f>
        <v>5%</v>
      </c>
      <c r="Q6" s="33">
        <f t="shared" si="0"/>
        <v>1500</v>
      </c>
      <c r="R6" s="33">
        <f>IF(AND('Employee data'!$K6&gt;=4,'Employee data'!$L6&gt;=95),5000,0)</f>
        <v>0</v>
      </c>
      <c r="S6" s="33">
        <f t="shared" si="1"/>
        <v>45500</v>
      </c>
      <c r="T6" s="33">
        <v>12</v>
      </c>
      <c r="U6" s="36">
        <f>'Employee data'!$M6/'Employee data'!$T6</f>
        <v>2500</v>
      </c>
      <c r="V6" s="33">
        <v>800</v>
      </c>
      <c r="W6" s="35">
        <f>IF('Employee data'!$S6&gt;=80000,20%,IF('Employee data'!$S6&gt;=50000,10%,5%))</f>
        <v>0.05</v>
      </c>
      <c r="X6" s="35">
        <f t="shared" si="2"/>
        <v>2275</v>
      </c>
      <c r="Y6" s="33" t="str">
        <f ca="1">IF(OR('Employee data'!$J6&gt;5,'Employee data'!$L6&gt;98),"Eligible","Not Eligible")</f>
        <v>Not Eligible</v>
      </c>
      <c r="Z6" s="35">
        <f t="shared" si="3"/>
        <v>39925</v>
      </c>
    </row>
    <row r="7" spans="1:26" x14ac:dyDescent="0.3">
      <c r="A7" s="29" t="s">
        <v>32</v>
      </c>
      <c r="B7" s="29" t="s">
        <v>33</v>
      </c>
      <c r="C7" s="29" t="s">
        <v>232</v>
      </c>
      <c r="D7" s="29" t="s">
        <v>35</v>
      </c>
      <c r="E7" s="29" t="s">
        <v>16</v>
      </c>
      <c r="F7" s="30">
        <v>34333</v>
      </c>
      <c r="G7" s="30">
        <v>43331</v>
      </c>
      <c r="H7" s="29" t="str">
        <f>VLOOKUP(TRIM('Employee data'!$C7),$A$108:$B$113,2,FALSE)</f>
        <v>Operations</v>
      </c>
      <c r="I7" s="29" t="s">
        <v>240</v>
      </c>
      <c r="J7" s="31">
        <f ca="1">ROUND(YEARFRAC('Employee data'!$G7,TODAY()),2)</f>
        <v>7.96</v>
      </c>
      <c r="K7" s="29">
        <v>4</v>
      </c>
      <c r="L7" s="29">
        <v>95</v>
      </c>
      <c r="M7" s="29">
        <v>39000</v>
      </c>
      <c r="N7" s="29">
        <v>13000</v>
      </c>
      <c r="O7" s="29">
        <v>5500</v>
      </c>
      <c r="P7" s="29" t="str">
        <f>IF('Employee data'!$M7&gt;=50000,"10%","5%")</f>
        <v>5%</v>
      </c>
      <c r="Q7" s="29">
        <f t="shared" si="0"/>
        <v>1950</v>
      </c>
      <c r="R7" s="29">
        <f>IF(AND('Employee data'!$K7&gt;=4,'Employee data'!$L7&gt;=95),5000,0)</f>
        <v>5000</v>
      </c>
      <c r="S7" s="29">
        <f t="shared" si="1"/>
        <v>64450</v>
      </c>
      <c r="T7" s="29">
        <v>12</v>
      </c>
      <c r="U7" s="32">
        <f>'Employee data'!$M7/'Employee data'!$T7</f>
        <v>3250</v>
      </c>
      <c r="V7" s="29">
        <v>1100</v>
      </c>
      <c r="W7" s="31">
        <f>IF('Employee data'!$S7&gt;=80000,20%,IF('Employee data'!$S7&gt;=50000,10%,5%))</f>
        <v>0.1</v>
      </c>
      <c r="X7" s="31">
        <f t="shared" si="2"/>
        <v>6445</v>
      </c>
      <c r="Y7" s="29" t="str">
        <f ca="1">IF(OR('Employee data'!$J7&gt;5,'Employee data'!$L7&gt;98),"Eligible","Not Eligible")</f>
        <v>Eligible</v>
      </c>
      <c r="Z7" s="31">
        <f t="shared" si="3"/>
        <v>53655</v>
      </c>
    </row>
    <row r="8" spans="1:26" x14ac:dyDescent="0.3">
      <c r="A8" s="33" t="s">
        <v>36</v>
      </c>
      <c r="B8" s="33" t="s">
        <v>37</v>
      </c>
      <c r="C8" s="33" t="s">
        <v>233</v>
      </c>
      <c r="D8" s="33" t="s">
        <v>39</v>
      </c>
      <c r="E8" s="33" t="s">
        <v>22</v>
      </c>
      <c r="F8" s="34">
        <v>34833</v>
      </c>
      <c r="G8" s="34">
        <v>44298</v>
      </c>
      <c r="H8" s="33" t="str">
        <f>VLOOKUP(TRIM('Employee data'!$C8),$A$108:$B$113,2,FALSE)</f>
        <v>Support</v>
      </c>
      <c r="I8" s="33" t="s">
        <v>241</v>
      </c>
      <c r="J8" s="35">
        <f ca="1">ROUND(YEARFRAC('Employee data'!$G8,TODAY()),2)</f>
        <v>5.32</v>
      </c>
      <c r="K8" s="33">
        <v>3.9</v>
      </c>
      <c r="L8" s="33">
        <v>93</v>
      </c>
      <c r="M8" s="33">
        <v>36000</v>
      </c>
      <c r="N8" s="33">
        <v>12500</v>
      </c>
      <c r="O8" s="33">
        <v>5000</v>
      </c>
      <c r="P8" s="33" t="str">
        <f>IF('Employee data'!$M8&gt;=50000,"10%","5%")</f>
        <v>5%</v>
      </c>
      <c r="Q8" s="33">
        <f t="shared" si="0"/>
        <v>1800</v>
      </c>
      <c r="R8" s="33">
        <f>IF(AND('Employee data'!$K8&gt;=4,'Employee data'!$L8&gt;=95),5000,0)</f>
        <v>0</v>
      </c>
      <c r="S8" s="33">
        <f t="shared" si="1"/>
        <v>55300</v>
      </c>
      <c r="T8" s="33">
        <v>12</v>
      </c>
      <c r="U8" s="36">
        <f>'Employee data'!$M8/'Employee data'!$T8</f>
        <v>3000</v>
      </c>
      <c r="V8" s="33">
        <v>900</v>
      </c>
      <c r="W8" s="35">
        <f>IF('Employee data'!$S8&gt;=80000,20%,IF('Employee data'!$S8&gt;=50000,10%,5%))</f>
        <v>0.1</v>
      </c>
      <c r="X8" s="35">
        <f t="shared" si="2"/>
        <v>5530</v>
      </c>
      <c r="Y8" s="33" t="str">
        <f ca="1">IF(OR('Employee data'!$J8&gt;5,'Employee data'!$L8&gt;98),"Eligible","Not Eligible")</f>
        <v>Eligible</v>
      </c>
      <c r="Z8" s="35">
        <f t="shared" si="3"/>
        <v>45870</v>
      </c>
    </row>
    <row r="9" spans="1:26" x14ac:dyDescent="0.3">
      <c r="A9" s="29" t="s">
        <v>40</v>
      </c>
      <c r="B9" s="29" t="s">
        <v>41</v>
      </c>
      <c r="C9" s="29" t="s">
        <v>228</v>
      </c>
      <c r="D9" s="29" t="s">
        <v>42</v>
      </c>
      <c r="E9" s="29" t="s">
        <v>16</v>
      </c>
      <c r="F9" s="30">
        <v>33536</v>
      </c>
      <c r="G9" s="30">
        <v>42917</v>
      </c>
      <c r="H9" s="29" t="str">
        <f>VLOOKUP(TRIM('Employee data'!$C9),$A$108:$B$113,2,FALSE)</f>
        <v>IT</v>
      </c>
      <c r="I9" s="29" t="s">
        <v>242</v>
      </c>
      <c r="J9" s="31">
        <f ca="1">ROUND(YEARFRAC('Employee data'!$G9,TODAY()),2)</f>
        <v>9.1</v>
      </c>
      <c r="K9" s="29">
        <v>4.8</v>
      </c>
      <c r="L9" s="29">
        <v>99</v>
      </c>
      <c r="M9" s="29">
        <v>55000</v>
      </c>
      <c r="N9" s="29">
        <v>18000</v>
      </c>
      <c r="O9" s="29">
        <v>9000</v>
      </c>
      <c r="P9" s="29" t="str">
        <f>IF('Employee data'!$M9&gt;=50000,"10%","5%")</f>
        <v>10%</v>
      </c>
      <c r="Q9" s="29">
        <f t="shared" si="0"/>
        <v>5500</v>
      </c>
      <c r="R9" s="29">
        <f>IF(AND('Employee data'!$K9&gt;=4,'Employee data'!$L9&gt;=95),5000,0)</f>
        <v>5000</v>
      </c>
      <c r="S9" s="29">
        <f t="shared" si="1"/>
        <v>92500</v>
      </c>
      <c r="T9" s="29">
        <v>12</v>
      </c>
      <c r="U9" s="32">
        <f>'Employee data'!$M9/'Employee data'!$T9</f>
        <v>4583.333333333333</v>
      </c>
      <c r="V9" s="29">
        <v>2000</v>
      </c>
      <c r="W9" s="31">
        <f>IF('Employee data'!$S9&gt;=80000,20%,IF('Employee data'!$S9&gt;=50000,10%,5%))</f>
        <v>0.2</v>
      </c>
      <c r="X9" s="31">
        <f t="shared" si="2"/>
        <v>18500</v>
      </c>
      <c r="Y9" s="29" t="str">
        <f ca="1">IF(OR('Employee data'!$J9&gt;5,'Employee data'!$L9&gt;98),"Eligible","Not Eligible")</f>
        <v>Eligible</v>
      </c>
      <c r="Z9" s="31">
        <f t="shared" si="3"/>
        <v>67416.666666666672</v>
      </c>
    </row>
    <row r="10" spans="1:26" x14ac:dyDescent="0.3">
      <c r="A10" s="33" t="s">
        <v>44</v>
      </c>
      <c r="B10" s="33" t="s">
        <v>45</v>
      </c>
      <c r="C10" s="33" t="s">
        <v>229</v>
      </c>
      <c r="D10" s="33" t="s">
        <v>46</v>
      </c>
      <c r="E10" s="33" t="s">
        <v>22</v>
      </c>
      <c r="F10" s="34">
        <v>35439</v>
      </c>
      <c r="G10" s="34">
        <v>44970</v>
      </c>
      <c r="H10" s="33" t="str">
        <f>VLOOKUP(TRIM('Employee data'!$C10),$A$108:$B$113,2,FALSE)</f>
        <v>HR</v>
      </c>
      <c r="I10" s="33" t="s">
        <v>243</v>
      </c>
      <c r="J10" s="35">
        <f ca="1">ROUND(YEARFRAC('Employee data'!$G10,TODAY()),2)</f>
        <v>3.48</v>
      </c>
      <c r="K10" s="33">
        <v>3.7</v>
      </c>
      <c r="L10" s="33">
        <v>92</v>
      </c>
      <c r="M10" s="33">
        <v>38000</v>
      </c>
      <c r="N10" s="33">
        <v>14000</v>
      </c>
      <c r="O10" s="33">
        <v>4500</v>
      </c>
      <c r="P10" s="33" t="str">
        <f>IF('Employee data'!$M10&gt;=50000,"10%","5%")</f>
        <v>5%</v>
      </c>
      <c r="Q10" s="33">
        <f t="shared" si="0"/>
        <v>1900</v>
      </c>
      <c r="R10" s="33">
        <f>IF(AND('Employee data'!$K10&gt;=4,'Employee data'!$L10&gt;=95),5000,0)</f>
        <v>0</v>
      </c>
      <c r="S10" s="33">
        <f t="shared" si="1"/>
        <v>58400</v>
      </c>
      <c r="T10" s="33">
        <v>12</v>
      </c>
      <c r="U10" s="36">
        <f>'Employee data'!$M10/'Employee data'!$T10</f>
        <v>3166.6666666666665</v>
      </c>
      <c r="V10" s="33">
        <v>1000</v>
      </c>
      <c r="W10" s="35">
        <f>IF('Employee data'!$S10&gt;=80000,20%,IF('Employee data'!$S10&gt;=50000,10%,5%))</f>
        <v>0.1</v>
      </c>
      <c r="X10" s="35">
        <f t="shared" si="2"/>
        <v>5840</v>
      </c>
      <c r="Y10" s="33" t="str">
        <f ca="1">IF(OR('Employee data'!$J10&gt;5,'Employee data'!$L10&gt;98),"Eligible","Not Eligible")</f>
        <v>Not Eligible</v>
      </c>
      <c r="Z10" s="35">
        <f t="shared" si="3"/>
        <v>48393.333333333336</v>
      </c>
    </row>
    <row r="11" spans="1:26" x14ac:dyDescent="0.3">
      <c r="A11" s="29" t="s">
        <v>47</v>
      </c>
      <c r="B11" s="29" t="s">
        <v>48</v>
      </c>
      <c r="C11" s="29" t="s">
        <v>230</v>
      </c>
      <c r="D11" s="29" t="s">
        <v>49</v>
      </c>
      <c r="E11" s="29" t="s">
        <v>16</v>
      </c>
      <c r="F11" s="30">
        <v>33041</v>
      </c>
      <c r="G11" s="30">
        <v>42639</v>
      </c>
      <c r="H11" s="29" t="str">
        <f>VLOOKUP(TRIM('Employee data'!$C11),$A$108:$B$113,2,FALSE)</f>
        <v>Finance</v>
      </c>
      <c r="I11" s="29" t="s">
        <v>244</v>
      </c>
      <c r="J11" s="31">
        <f ca="1">ROUND(YEARFRAC('Employee data'!$G11,TODAY()),2)</f>
        <v>9.86</v>
      </c>
      <c r="K11" s="29">
        <v>4.9000000000000004</v>
      </c>
      <c r="L11" s="29">
        <v>97</v>
      </c>
      <c r="M11" s="29">
        <v>62000</v>
      </c>
      <c r="N11" s="29">
        <v>20000</v>
      </c>
      <c r="O11" s="29">
        <v>10000</v>
      </c>
      <c r="P11" s="29" t="str">
        <f>IF('Employee data'!$M11&gt;=50000,"10%","5%")</f>
        <v>10%</v>
      </c>
      <c r="Q11" s="29">
        <f t="shared" si="0"/>
        <v>6200</v>
      </c>
      <c r="R11" s="29">
        <f>IF(AND('Employee data'!$K11&gt;=4,'Employee data'!$L11&gt;=95),5000,0)</f>
        <v>5000</v>
      </c>
      <c r="S11" s="29">
        <f t="shared" si="1"/>
        <v>103200</v>
      </c>
      <c r="T11" s="29">
        <v>12</v>
      </c>
      <c r="U11" s="32">
        <f>'Employee data'!$M11/'Employee data'!$T11</f>
        <v>5166.666666666667</v>
      </c>
      <c r="V11" s="29">
        <v>2500</v>
      </c>
      <c r="W11" s="31">
        <f>IF('Employee data'!$S11&gt;=80000,20%,IF('Employee data'!$S11&gt;=50000,10%,5%))</f>
        <v>0.2</v>
      </c>
      <c r="X11" s="31">
        <f t="shared" si="2"/>
        <v>20640</v>
      </c>
      <c r="Y11" s="29" t="str">
        <f ca="1">IF(OR('Employee data'!$J11&gt;5,'Employee data'!$L11&gt;98),"Eligible","Not Eligible")</f>
        <v>Eligible</v>
      </c>
      <c r="Z11" s="31">
        <f t="shared" si="3"/>
        <v>74893.333333333328</v>
      </c>
    </row>
    <row r="12" spans="1:26" x14ac:dyDescent="0.3">
      <c r="A12" s="33" t="s">
        <v>50</v>
      </c>
      <c r="B12" s="33" t="s">
        <v>51</v>
      </c>
      <c r="C12" s="33" t="s">
        <v>231</v>
      </c>
      <c r="D12" s="33" t="s">
        <v>31</v>
      </c>
      <c r="E12" s="33" t="s">
        <v>22</v>
      </c>
      <c r="F12" s="34">
        <v>36127</v>
      </c>
      <c r="G12" s="34">
        <v>44732</v>
      </c>
      <c r="H12" s="33" t="str">
        <f>VLOOKUP(TRIM('Employee data'!$C12),$A$108:$B$113,2,FALSE)</f>
        <v>Sales</v>
      </c>
      <c r="I12" s="33" t="s">
        <v>245</v>
      </c>
      <c r="J12" s="35">
        <f ca="1">ROUND(YEARFRAC('Employee data'!$G12,TODAY()),2)</f>
        <v>4.13</v>
      </c>
      <c r="K12" s="33">
        <v>3.5</v>
      </c>
      <c r="L12" s="33">
        <v>90</v>
      </c>
      <c r="M12" s="33">
        <v>31000</v>
      </c>
      <c r="N12" s="33">
        <v>10500</v>
      </c>
      <c r="O12" s="33">
        <v>4000</v>
      </c>
      <c r="P12" s="33" t="str">
        <f>IF('Employee data'!$M12&gt;=50000,"10%","5%")</f>
        <v>5%</v>
      </c>
      <c r="Q12" s="33">
        <f t="shared" si="0"/>
        <v>1550</v>
      </c>
      <c r="R12" s="33">
        <f>IF(AND('Employee data'!$K12&gt;=4,'Employee data'!$L12&gt;=95),5000,0)</f>
        <v>0</v>
      </c>
      <c r="S12" s="33">
        <f t="shared" si="1"/>
        <v>47050</v>
      </c>
      <c r="T12" s="33">
        <v>12</v>
      </c>
      <c r="U12" s="36">
        <f>'Employee data'!$M12/'Employee data'!$T12</f>
        <v>2583.3333333333335</v>
      </c>
      <c r="V12" s="33">
        <v>850</v>
      </c>
      <c r="W12" s="35">
        <f>IF('Employee data'!$S12&gt;=80000,20%,IF('Employee data'!$S12&gt;=50000,10%,5%))</f>
        <v>0.05</v>
      </c>
      <c r="X12" s="35">
        <f t="shared" si="2"/>
        <v>2352.5</v>
      </c>
      <c r="Y12" s="33" t="str">
        <f ca="1">IF(OR('Employee data'!$J12&gt;5,'Employee data'!$L12&gt;98),"Eligible","Not Eligible")</f>
        <v>Not Eligible</v>
      </c>
      <c r="Z12" s="35">
        <f t="shared" si="3"/>
        <v>41264.166666666664</v>
      </c>
    </row>
    <row r="13" spans="1:26" x14ac:dyDescent="0.3">
      <c r="A13" s="29" t="s">
        <v>52</v>
      </c>
      <c r="B13" s="29" t="s">
        <v>53</v>
      </c>
      <c r="C13" s="29" t="s">
        <v>232</v>
      </c>
      <c r="D13" s="29" t="s">
        <v>54</v>
      </c>
      <c r="E13" s="29" t="s">
        <v>16</v>
      </c>
      <c r="F13" s="30">
        <v>33677</v>
      </c>
      <c r="G13" s="30">
        <v>43507</v>
      </c>
      <c r="H13" s="29" t="str">
        <f>VLOOKUP(TRIM('Employee data'!$C13),$A$108:$B$113,2,FALSE)</f>
        <v>Operations</v>
      </c>
      <c r="I13" s="29" t="s">
        <v>246</v>
      </c>
      <c r="J13" s="31">
        <f ca="1">ROUND(YEARFRAC('Employee data'!$G13,TODAY()),2)</f>
        <v>7.49</v>
      </c>
      <c r="K13" s="29">
        <v>4.0999999999999996</v>
      </c>
      <c r="L13" s="29">
        <v>95</v>
      </c>
      <c r="M13" s="29">
        <v>46000</v>
      </c>
      <c r="N13" s="29">
        <v>15500</v>
      </c>
      <c r="O13" s="29">
        <v>6500</v>
      </c>
      <c r="P13" s="29" t="str">
        <f>IF('Employee data'!$M13&gt;=50000,"10%","5%")</f>
        <v>5%</v>
      </c>
      <c r="Q13" s="29">
        <f t="shared" si="0"/>
        <v>2300</v>
      </c>
      <c r="R13" s="29">
        <f>IF(AND('Employee data'!$K13&gt;=4,'Employee data'!$L13&gt;=95),5000,0)</f>
        <v>5000</v>
      </c>
      <c r="S13" s="29">
        <f t="shared" si="1"/>
        <v>75300</v>
      </c>
      <c r="T13" s="29">
        <v>12</v>
      </c>
      <c r="U13" s="32">
        <f>'Employee data'!$M13/'Employee data'!$T13</f>
        <v>3833.3333333333335</v>
      </c>
      <c r="V13" s="29">
        <v>1300</v>
      </c>
      <c r="W13" s="31">
        <f>IF('Employee data'!$S13&gt;=80000,20%,IF('Employee data'!$S13&gt;=50000,10%,5%))</f>
        <v>0.1</v>
      </c>
      <c r="X13" s="31">
        <f t="shared" si="2"/>
        <v>7530</v>
      </c>
      <c r="Y13" s="29" t="str">
        <f ca="1">IF(OR('Employee data'!$J13&gt;5,'Employee data'!$L13&gt;98),"Eligible","Not Eligible")</f>
        <v>Eligible</v>
      </c>
      <c r="Z13" s="31">
        <f t="shared" si="3"/>
        <v>62636.666666666664</v>
      </c>
    </row>
    <row r="14" spans="1:26" x14ac:dyDescent="0.3">
      <c r="A14" s="33" t="s">
        <v>55</v>
      </c>
      <c r="B14" s="33" t="s">
        <v>56</v>
      </c>
      <c r="C14" s="33" t="s">
        <v>233</v>
      </c>
      <c r="D14" s="33" t="s">
        <v>57</v>
      </c>
      <c r="E14" s="33" t="s">
        <v>22</v>
      </c>
      <c r="F14" s="34">
        <v>35296</v>
      </c>
      <c r="G14" s="34">
        <v>44445</v>
      </c>
      <c r="H14" s="33" t="str">
        <f>VLOOKUP(TRIM('Employee data'!$C14),$A$108:$B$113,2,FALSE)</f>
        <v>Support</v>
      </c>
      <c r="I14" s="33" t="s">
        <v>247</v>
      </c>
      <c r="J14" s="35">
        <f ca="1">ROUND(YEARFRAC('Employee data'!$G14,TODAY()),2)</f>
        <v>4.92</v>
      </c>
      <c r="K14" s="33">
        <v>3.6</v>
      </c>
      <c r="L14" s="33">
        <v>92</v>
      </c>
      <c r="M14" s="33">
        <v>34000</v>
      </c>
      <c r="N14" s="33">
        <v>11500</v>
      </c>
      <c r="O14" s="33">
        <v>4800</v>
      </c>
      <c r="P14" s="33" t="str">
        <f>IF('Employee data'!$M14&gt;=50000,"10%","5%")</f>
        <v>5%</v>
      </c>
      <c r="Q14" s="33">
        <f t="shared" si="0"/>
        <v>1700</v>
      </c>
      <c r="R14" s="33">
        <f>IF(AND('Employee data'!$K14&gt;=4,'Employee data'!$L14&gt;=95),5000,0)</f>
        <v>0</v>
      </c>
      <c r="S14" s="33">
        <f t="shared" si="1"/>
        <v>52000</v>
      </c>
      <c r="T14" s="33">
        <v>12</v>
      </c>
      <c r="U14" s="36">
        <f>'Employee data'!$M14/'Employee data'!$T14</f>
        <v>2833.3333333333335</v>
      </c>
      <c r="V14" s="33">
        <v>900</v>
      </c>
      <c r="W14" s="35">
        <f>IF('Employee data'!$S14&gt;=80000,20%,IF('Employee data'!$S14&gt;=50000,10%,5%))</f>
        <v>0.1</v>
      </c>
      <c r="X14" s="35">
        <f t="shared" si="2"/>
        <v>5200</v>
      </c>
      <c r="Y14" s="33" t="str">
        <f ca="1">IF(OR('Employee data'!$J14&gt;5,'Employee data'!$L14&gt;98),"Eligible","Not Eligible")</f>
        <v>Not Eligible</v>
      </c>
      <c r="Z14" s="35">
        <f t="shared" si="3"/>
        <v>43066.666666666664</v>
      </c>
    </row>
    <row r="15" spans="1:26" x14ac:dyDescent="0.3">
      <c r="A15" s="29" t="s">
        <v>58</v>
      </c>
      <c r="B15" s="29" t="s">
        <v>59</v>
      </c>
      <c r="C15" s="29" t="s">
        <v>228</v>
      </c>
      <c r="D15" s="29" t="s">
        <v>60</v>
      </c>
      <c r="E15" s="29" t="s">
        <v>16</v>
      </c>
      <c r="F15" s="30">
        <v>32853</v>
      </c>
      <c r="G15" s="30">
        <v>42121</v>
      </c>
      <c r="H15" s="29" t="str">
        <f>VLOOKUP(TRIM('Employee data'!$C15),$A$108:$B$113,2,FALSE)</f>
        <v>IT</v>
      </c>
      <c r="I15" s="29" t="s">
        <v>248</v>
      </c>
      <c r="J15" s="31">
        <f ca="1">ROUND(YEARFRAC('Employee data'!$G15,TODAY()),2)</f>
        <v>11.28</v>
      </c>
      <c r="K15" s="29">
        <v>4.7</v>
      </c>
      <c r="L15" s="29">
        <v>98</v>
      </c>
      <c r="M15" s="29">
        <v>70000</v>
      </c>
      <c r="N15" s="29">
        <v>25000</v>
      </c>
      <c r="O15" s="29">
        <v>12000</v>
      </c>
      <c r="P15" s="29" t="str">
        <f>IF('Employee data'!$M15&gt;=50000,"10%","5%")</f>
        <v>10%</v>
      </c>
      <c r="Q15" s="29">
        <f t="shared" si="0"/>
        <v>7000</v>
      </c>
      <c r="R15" s="29">
        <f>IF(AND('Employee data'!$K15&gt;=4,'Employee data'!$L15&gt;=95),5000,0)</f>
        <v>5000</v>
      </c>
      <c r="S15" s="29">
        <f t="shared" si="1"/>
        <v>119000</v>
      </c>
      <c r="T15" s="29">
        <v>12</v>
      </c>
      <c r="U15" s="32">
        <f>'Employee data'!$M15/'Employee data'!$T15</f>
        <v>5833.333333333333</v>
      </c>
      <c r="V15" s="29">
        <v>3000</v>
      </c>
      <c r="W15" s="31">
        <f>IF('Employee data'!$S15&gt;=80000,20%,IF('Employee data'!$S15&gt;=50000,10%,5%))</f>
        <v>0.2</v>
      </c>
      <c r="X15" s="31">
        <f t="shared" si="2"/>
        <v>23800</v>
      </c>
      <c r="Y15" s="29" t="str">
        <f ca="1">IF(OR('Employee data'!$J15&gt;5,'Employee data'!$L15&gt;98),"Eligible","Not Eligible")</f>
        <v>Eligible</v>
      </c>
      <c r="Z15" s="31">
        <f t="shared" si="3"/>
        <v>86366.666666666672</v>
      </c>
    </row>
    <row r="16" spans="1:26" x14ac:dyDescent="0.3">
      <c r="A16" s="33" t="s">
        <v>61</v>
      </c>
      <c r="B16" s="33" t="s">
        <v>62</v>
      </c>
      <c r="C16" s="33" t="s">
        <v>229</v>
      </c>
      <c r="D16" s="33" t="s">
        <v>63</v>
      </c>
      <c r="E16" s="33" t="s">
        <v>22</v>
      </c>
      <c r="F16" s="34">
        <v>34429</v>
      </c>
      <c r="G16" s="34">
        <v>44119</v>
      </c>
      <c r="H16" s="33" t="str">
        <f>VLOOKUP(TRIM('Employee data'!$C16),$A$108:$B$113,2,FALSE)</f>
        <v>HR</v>
      </c>
      <c r="I16" s="33" t="s">
        <v>249</v>
      </c>
      <c r="J16" s="35">
        <f ca="1">ROUND(YEARFRAC('Employee data'!$G16,TODAY()),2)</f>
        <v>5.81</v>
      </c>
      <c r="K16" s="33">
        <v>3.8</v>
      </c>
      <c r="L16" s="33">
        <v>94</v>
      </c>
      <c r="M16" s="33">
        <v>40000</v>
      </c>
      <c r="N16" s="33">
        <v>14000</v>
      </c>
      <c r="O16" s="33">
        <v>5500</v>
      </c>
      <c r="P16" s="33" t="str">
        <f>IF('Employee data'!$M16&gt;=50000,"10%","5%")</f>
        <v>5%</v>
      </c>
      <c r="Q16" s="33">
        <f t="shared" si="0"/>
        <v>2000</v>
      </c>
      <c r="R16" s="33">
        <f>IF(AND('Employee data'!$K16&gt;=4,'Employee data'!$L16&gt;=95),5000,0)</f>
        <v>0</v>
      </c>
      <c r="S16" s="33">
        <f t="shared" si="1"/>
        <v>61500</v>
      </c>
      <c r="T16" s="33">
        <v>12</v>
      </c>
      <c r="U16" s="36">
        <f>'Employee data'!$M16/'Employee data'!$T16</f>
        <v>3333.3333333333335</v>
      </c>
      <c r="V16" s="33">
        <v>1100</v>
      </c>
      <c r="W16" s="35">
        <f>IF('Employee data'!$S16&gt;=80000,20%,IF('Employee data'!$S16&gt;=50000,10%,5%))</f>
        <v>0.1</v>
      </c>
      <c r="X16" s="35">
        <f t="shared" si="2"/>
        <v>6150</v>
      </c>
      <c r="Y16" s="33" t="str">
        <f ca="1">IF(OR('Employee data'!$J16&gt;5,'Employee data'!$L16&gt;98),"Eligible","Not Eligible")</f>
        <v>Eligible</v>
      </c>
      <c r="Z16" s="35">
        <f t="shared" si="3"/>
        <v>50916.666666666664</v>
      </c>
    </row>
    <row r="17" spans="1:26" x14ac:dyDescent="0.3">
      <c r="A17" s="29" t="s">
        <v>64</v>
      </c>
      <c r="B17" s="29" t="s">
        <v>65</v>
      </c>
      <c r="C17" s="29" t="s">
        <v>230</v>
      </c>
      <c r="D17" s="29" t="s">
        <v>66</v>
      </c>
      <c r="E17" s="29" t="s">
        <v>16</v>
      </c>
      <c r="F17" s="30">
        <v>34234</v>
      </c>
      <c r="G17" s="30">
        <v>43437</v>
      </c>
      <c r="H17" s="29" t="str">
        <f>VLOOKUP(TRIM('Employee data'!$C17),$A$108:$B$113,2,FALSE)</f>
        <v>Finance</v>
      </c>
      <c r="I17" s="29" t="s">
        <v>250</v>
      </c>
      <c r="J17" s="31">
        <f ca="1">ROUND(YEARFRAC('Employee data'!$G17,TODAY()),2)</f>
        <v>7.68</v>
      </c>
      <c r="K17" s="29">
        <v>4.5</v>
      </c>
      <c r="L17" s="29">
        <v>96</v>
      </c>
      <c r="M17" s="29">
        <v>52000</v>
      </c>
      <c r="N17" s="29">
        <v>17000</v>
      </c>
      <c r="O17" s="29">
        <v>8000</v>
      </c>
      <c r="P17" s="29" t="str">
        <f>IF('Employee data'!$M17&gt;=50000,"10%","5%")</f>
        <v>10%</v>
      </c>
      <c r="Q17" s="29">
        <f t="shared" si="0"/>
        <v>5200</v>
      </c>
      <c r="R17" s="29">
        <f>IF(AND('Employee data'!$K17&gt;=4,'Employee data'!$L17&gt;=95),5000,0)</f>
        <v>5000</v>
      </c>
      <c r="S17" s="29">
        <f t="shared" si="1"/>
        <v>87200</v>
      </c>
      <c r="T17" s="29">
        <v>12</v>
      </c>
      <c r="U17" s="32">
        <f>'Employee data'!$M17/'Employee data'!$T17</f>
        <v>4333.333333333333</v>
      </c>
      <c r="V17" s="29">
        <v>1800</v>
      </c>
      <c r="W17" s="31">
        <f>IF('Employee data'!$S17&gt;=80000,20%,IF('Employee data'!$S17&gt;=50000,10%,5%))</f>
        <v>0.2</v>
      </c>
      <c r="X17" s="31">
        <f t="shared" si="2"/>
        <v>17440</v>
      </c>
      <c r="Y17" s="29" t="str">
        <f ca="1">IF(OR('Employee data'!$J17&gt;5,'Employee data'!$L17&gt;98),"Eligible","Not Eligible")</f>
        <v>Eligible</v>
      </c>
      <c r="Z17" s="31">
        <f t="shared" si="3"/>
        <v>63626.666666666664</v>
      </c>
    </row>
    <row r="18" spans="1:26" x14ac:dyDescent="0.3">
      <c r="A18" s="33" t="s">
        <v>67</v>
      </c>
      <c r="B18" s="33" t="s">
        <v>68</v>
      </c>
      <c r="C18" s="33" t="s">
        <v>231</v>
      </c>
      <c r="D18" s="33" t="s">
        <v>31</v>
      </c>
      <c r="E18" s="33" t="s">
        <v>22</v>
      </c>
      <c r="F18" s="34">
        <v>35618</v>
      </c>
      <c r="G18" s="34">
        <v>44942</v>
      </c>
      <c r="H18" s="33" t="str">
        <f>VLOOKUP(TRIM('Employee data'!$C18),$A$108:$B$113,2,FALSE)</f>
        <v>Sales</v>
      </c>
      <c r="I18" s="33" t="s">
        <v>251</v>
      </c>
      <c r="J18" s="35">
        <f ca="1">ROUND(YEARFRAC('Employee data'!$G18,TODAY()),2)</f>
        <v>3.56</v>
      </c>
      <c r="K18" s="33">
        <v>3.3</v>
      </c>
      <c r="L18" s="33">
        <v>89</v>
      </c>
      <c r="M18" s="33">
        <v>32000</v>
      </c>
      <c r="N18" s="33">
        <v>11000</v>
      </c>
      <c r="O18" s="33">
        <v>4200</v>
      </c>
      <c r="P18" s="33" t="str">
        <f>IF('Employee data'!$M18&gt;=50000,"10%","5%")</f>
        <v>5%</v>
      </c>
      <c r="Q18" s="33">
        <f t="shared" si="0"/>
        <v>1600</v>
      </c>
      <c r="R18" s="33">
        <f>IF(AND('Employee data'!$K18&gt;=4,'Employee data'!$L18&gt;=95),5000,0)</f>
        <v>0</v>
      </c>
      <c r="S18" s="33">
        <f t="shared" si="1"/>
        <v>48800</v>
      </c>
      <c r="T18" s="33">
        <v>12</v>
      </c>
      <c r="U18" s="36">
        <f>'Employee data'!$M18/'Employee data'!$T18</f>
        <v>2666.6666666666665</v>
      </c>
      <c r="V18" s="33">
        <v>900</v>
      </c>
      <c r="W18" s="35">
        <f>IF('Employee data'!$S18&gt;=80000,20%,IF('Employee data'!$S18&gt;=50000,10%,5%))</f>
        <v>0.05</v>
      </c>
      <c r="X18" s="35">
        <f t="shared" si="2"/>
        <v>2440</v>
      </c>
      <c r="Y18" s="33" t="str">
        <f ca="1">IF(OR('Employee data'!$J18&gt;5,'Employee data'!$L18&gt;98),"Eligible","Not Eligible")</f>
        <v>Not Eligible</v>
      </c>
      <c r="Z18" s="35">
        <f t="shared" si="3"/>
        <v>42793.333333333336</v>
      </c>
    </row>
    <row r="19" spans="1:26" x14ac:dyDescent="0.3">
      <c r="A19" s="29" t="s">
        <v>69</v>
      </c>
      <c r="B19" s="29" t="s">
        <v>70</v>
      </c>
      <c r="C19" s="29" t="s">
        <v>232</v>
      </c>
      <c r="D19" s="29" t="s">
        <v>71</v>
      </c>
      <c r="E19" s="29" t="s">
        <v>16</v>
      </c>
      <c r="F19" s="30">
        <v>33388</v>
      </c>
      <c r="G19" s="30">
        <v>43017</v>
      </c>
      <c r="H19" s="29" t="str">
        <f>VLOOKUP(TRIM('Employee data'!$C19),$A$108:$B$113,2,FALSE)</f>
        <v>Operations</v>
      </c>
      <c r="I19" s="29" t="s">
        <v>252</v>
      </c>
      <c r="J19" s="31">
        <f ca="1">ROUND(YEARFRAC('Employee data'!$G19,TODAY()),2)</f>
        <v>8.83</v>
      </c>
      <c r="K19" s="29">
        <v>4</v>
      </c>
      <c r="L19" s="29">
        <v>95</v>
      </c>
      <c r="M19" s="29">
        <v>43000</v>
      </c>
      <c r="N19" s="29">
        <v>14500</v>
      </c>
      <c r="O19" s="29">
        <v>6000</v>
      </c>
      <c r="P19" s="29" t="str">
        <f>IF('Employee data'!$M19&gt;=50000,"10%","5%")</f>
        <v>5%</v>
      </c>
      <c r="Q19" s="29">
        <f t="shared" si="0"/>
        <v>2150</v>
      </c>
      <c r="R19" s="29">
        <f>IF(AND('Employee data'!$K19&gt;=4,'Employee data'!$L19&gt;=95),5000,0)</f>
        <v>5000</v>
      </c>
      <c r="S19" s="29">
        <f t="shared" si="1"/>
        <v>70650</v>
      </c>
      <c r="T19" s="29">
        <v>12</v>
      </c>
      <c r="U19" s="32">
        <f>'Employee data'!$M19/'Employee data'!$T19</f>
        <v>3583.3333333333335</v>
      </c>
      <c r="V19" s="29">
        <v>1200</v>
      </c>
      <c r="W19" s="31">
        <f>IF('Employee data'!$S19&gt;=80000,20%,IF('Employee data'!$S19&gt;=50000,10%,5%))</f>
        <v>0.1</v>
      </c>
      <c r="X19" s="31">
        <f t="shared" si="2"/>
        <v>7065</v>
      </c>
      <c r="Y19" s="29" t="str">
        <f ca="1">IF(OR('Employee data'!$J19&gt;5,'Employee data'!$L19&gt;98),"Eligible","Not Eligible")</f>
        <v>Eligible</v>
      </c>
      <c r="Z19" s="31">
        <f t="shared" si="3"/>
        <v>58801.666666666664</v>
      </c>
    </row>
    <row r="20" spans="1:26" x14ac:dyDescent="0.3">
      <c r="A20" s="33" t="s">
        <v>72</v>
      </c>
      <c r="B20" s="33" t="s">
        <v>73</v>
      </c>
      <c r="C20" s="33" t="s">
        <v>233</v>
      </c>
      <c r="D20" s="33" t="s">
        <v>74</v>
      </c>
      <c r="E20" s="33" t="s">
        <v>22</v>
      </c>
      <c r="F20" s="34">
        <v>35877</v>
      </c>
      <c r="G20" s="34">
        <v>44669</v>
      </c>
      <c r="H20" s="33" t="str">
        <f>VLOOKUP(TRIM('Employee data'!$C20),$A$108:$B$113,2,FALSE)</f>
        <v>Support</v>
      </c>
      <c r="I20" s="33" t="s">
        <v>253</v>
      </c>
      <c r="J20" s="35">
        <f ca="1">ROUND(YEARFRAC('Employee data'!$G20,TODAY()),2)</f>
        <v>4.3</v>
      </c>
      <c r="K20" s="33">
        <v>3.7</v>
      </c>
      <c r="L20" s="33">
        <v>93</v>
      </c>
      <c r="M20" s="33">
        <v>33000</v>
      </c>
      <c r="N20" s="33">
        <v>11200</v>
      </c>
      <c r="O20" s="33">
        <v>4500</v>
      </c>
      <c r="P20" s="33" t="str">
        <f>IF('Employee data'!$M20&gt;=50000,"10%","5%")</f>
        <v>5%</v>
      </c>
      <c r="Q20" s="33">
        <f t="shared" si="0"/>
        <v>1650</v>
      </c>
      <c r="R20" s="33">
        <f>IF(AND('Employee data'!$K20&gt;=4,'Employee data'!$L20&gt;=95),5000,0)</f>
        <v>0</v>
      </c>
      <c r="S20" s="33">
        <f t="shared" si="1"/>
        <v>50350</v>
      </c>
      <c r="T20" s="33">
        <v>12</v>
      </c>
      <c r="U20" s="36">
        <f>'Employee data'!$M20/'Employee data'!$T20</f>
        <v>2750</v>
      </c>
      <c r="V20" s="33">
        <v>850</v>
      </c>
      <c r="W20" s="35">
        <f>IF('Employee data'!$S20&gt;=80000,20%,IF('Employee data'!$S20&gt;=50000,10%,5%))</f>
        <v>0.1</v>
      </c>
      <c r="X20" s="35">
        <f t="shared" si="2"/>
        <v>5035</v>
      </c>
      <c r="Y20" s="33" t="str">
        <f ca="1">IF(OR('Employee data'!$J20&gt;5,'Employee data'!$L20&gt;98),"Eligible","Not Eligible")</f>
        <v>Not Eligible</v>
      </c>
      <c r="Z20" s="35">
        <f t="shared" si="3"/>
        <v>41715</v>
      </c>
    </row>
    <row r="21" spans="1:26" x14ac:dyDescent="0.3">
      <c r="A21" s="29" t="s">
        <v>75</v>
      </c>
      <c r="B21" s="29" t="s">
        <v>76</v>
      </c>
      <c r="C21" s="29" t="s">
        <v>228</v>
      </c>
      <c r="D21" s="29" t="s">
        <v>77</v>
      </c>
      <c r="E21" s="29" t="s">
        <v>16</v>
      </c>
      <c r="F21" s="30">
        <v>32886</v>
      </c>
      <c r="G21" s="30">
        <v>42545</v>
      </c>
      <c r="H21" s="29" t="str">
        <f>VLOOKUP(TRIM('Employee data'!$C21),$A$108:$B$113,2,FALSE)</f>
        <v>IT</v>
      </c>
      <c r="I21" s="29" t="s">
        <v>254</v>
      </c>
      <c r="J21" s="31">
        <f ca="1">ROUND(YEARFRAC('Employee data'!$G21,TODAY()),2)</f>
        <v>10.119999999999999</v>
      </c>
      <c r="K21" s="29">
        <v>4.8</v>
      </c>
      <c r="L21" s="29">
        <v>99</v>
      </c>
      <c r="M21" s="29">
        <v>68000</v>
      </c>
      <c r="N21" s="29">
        <v>23000</v>
      </c>
      <c r="O21" s="29">
        <v>11000</v>
      </c>
      <c r="P21" s="29" t="str">
        <f>IF('Employee data'!$M21&gt;=50000,"10%","5%")</f>
        <v>10%</v>
      </c>
      <c r="Q21" s="29">
        <f t="shared" si="0"/>
        <v>6800</v>
      </c>
      <c r="R21" s="29">
        <f>IF(AND('Employee data'!$K21&gt;=4,'Employee data'!$L21&gt;=95),5000,0)</f>
        <v>5000</v>
      </c>
      <c r="S21" s="29">
        <f t="shared" si="1"/>
        <v>113800</v>
      </c>
      <c r="T21" s="29">
        <v>12</v>
      </c>
      <c r="U21" s="32">
        <f>'Employee data'!$M21/'Employee data'!$T21</f>
        <v>5666.666666666667</v>
      </c>
      <c r="V21" s="29">
        <v>2800</v>
      </c>
      <c r="W21" s="31">
        <f>IF('Employee data'!$S21&gt;=80000,20%,IF('Employee data'!$S21&gt;=50000,10%,5%))</f>
        <v>0.2</v>
      </c>
      <c r="X21" s="31">
        <f t="shared" si="2"/>
        <v>22760</v>
      </c>
      <c r="Y21" s="29" t="str">
        <f ca="1">IF(OR('Employee data'!$J21&gt;5,'Employee data'!$L21&gt;98),"Eligible","Not Eligible")</f>
        <v>Eligible</v>
      </c>
      <c r="Z21" s="31">
        <f t="shared" si="3"/>
        <v>82573.333333333328</v>
      </c>
    </row>
    <row r="22" spans="1:26" x14ac:dyDescent="0.3">
      <c r="A22" s="33" t="s">
        <v>78</v>
      </c>
      <c r="B22" s="33" t="s">
        <v>79</v>
      </c>
      <c r="C22" s="33" t="s">
        <v>229</v>
      </c>
      <c r="D22" s="33" t="s">
        <v>80</v>
      </c>
      <c r="E22" s="33" t="s">
        <v>22</v>
      </c>
      <c r="F22" s="34">
        <v>34980</v>
      </c>
      <c r="G22" s="34">
        <v>44438</v>
      </c>
      <c r="H22" s="33" t="str">
        <f>VLOOKUP(TRIM('Employee data'!$C22),$A$108:$B$113,2,FALSE)</f>
        <v>HR</v>
      </c>
      <c r="I22" s="33" t="s">
        <v>255</v>
      </c>
      <c r="J22" s="35">
        <f ca="1">ROUND(YEARFRAC('Employee data'!$G22,TODAY()),2)</f>
        <v>4.93</v>
      </c>
      <c r="K22" s="33">
        <v>3.9</v>
      </c>
      <c r="L22" s="33">
        <v>91</v>
      </c>
      <c r="M22" s="33">
        <v>41000</v>
      </c>
      <c r="N22" s="33">
        <v>14500</v>
      </c>
      <c r="O22" s="33">
        <v>5800</v>
      </c>
      <c r="P22" s="33" t="str">
        <f>IF('Employee data'!$M22&gt;=50000,"10%","5%")</f>
        <v>5%</v>
      </c>
      <c r="Q22" s="33">
        <f t="shared" si="0"/>
        <v>2050</v>
      </c>
      <c r="R22" s="33">
        <f>IF(AND('Employee data'!$K22&gt;=4,'Employee data'!$L22&gt;=95),5000,0)</f>
        <v>0</v>
      </c>
      <c r="S22" s="33">
        <f t="shared" si="1"/>
        <v>63350</v>
      </c>
      <c r="T22" s="33">
        <v>12</v>
      </c>
      <c r="U22" s="36">
        <f>'Employee data'!$M22/'Employee data'!$T22</f>
        <v>3416.6666666666665</v>
      </c>
      <c r="V22" s="33">
        <v>1000</v>
      </c>
      <c r="W22" s="35">
        <f>IF('Employee data'!$S22&gt;=80000,20%,IF('Employee data'!$S22&gt;=50000,10%,5%))</f>
        <v>0.1</v>
      </c>
      <c r="X22" s="35">
        <f t="shared" si="2"/>
        <v>6335</v>
      </c>
      <c r="Y22" s="33" t="str">
        <f ca="1">IF(OR('Employee data'!$J22&gt;5,'Employee data'!$L22&gt;98),"Eligible","Not Eligible")</f>
        <v>Not Eligible</v>
      </c>
      <c r="Z22" s="35">
        <f t="shared" si="3"/>
        <v>52598.333333333336</v>
      </c>
    </row>
    <row r="23" spans="1:26" x14ac:dyDescent="0.3">
      <c r="A23" s="29" t="s">
        <v>81</v>
      </c>
      <c r="B23" s="29" t="s">
        <v>82</v>
      </c>
      <c r="C23" s="29" t="s">
        <v>230</v>
      </c>
      <c r="D23" s="29" t="s">
        <v>83</v>
      </c>
      <c r="E23" s="29" t="s">
        <v>16</v>
      </c>
      <c r="F23" s="30">
        <v>32189</v>
      </c>
      <c r="G23" s="30">
        <v>41955</v>
      </c>
      <c r="H23" s="29" t="str">
        <f>VLOOKUP(TRIM('Employee data'!$C23),$A$108:$B$113,2,FALSE)</f>
        <v>Finance</v>
      </c>
      <c r="I23" s="29" t="s">
        <v>256</v>
      </c>
      <c r="J23" s="31">
        <f ca="1">ROUND(YEARFRAC('Employee data'!$G23,TODAY()),2)</f>
        <v>11.73</v>
      </c>
      <c r="K23" s="29">
        <v>4.9000000000000004</v>
      </c>
      <c r="L23" s="29">
        <v>97</v>
      </c>
      <c r="M23" s="29">
        <v>75000</v>
      </c>
      <c r="N23" s="29">
        <v>26000</v>
      </c>
      <c r="O23" s="29">
        <v>13000</v>
      </c>
      <c r="P23" s="29" t="str">
        <f>IF('Employee data'!$M23&gt;=50000,"10%","5%")</f>
        <v>10%</v>
      </c>
      <c r="Q23" s="29">
        <f t="shared" si="0"/>
        <v>7500</v>
      </c>
      <c r="R23" s="29">
        <f>IF(AND('Employee data'!$K23&gt;=4,'Employee data'!$L23&gt;=95),5000,0)</f>
        <v>5000</v>
      </c>
      <c r="S23" s="29">
        <f t="shared" si="1"/>
        <v>126500</v>
      </c>
      <c r="T23" s="29">
        <v>12</v>
      </c>
      <c r="U23" s="32">
        <f>'Employee data'!$M23/'Employee data'!$T23</f>
        <v>6250</v>
      </c>
      <c r="V23" s="29">
        <v>3200</v>
      </c>
      <c r="W23" s="31">
        <f>IF('Employee data'!$S23&gt;=80000,20%,IF('Employee data'!$S23&gt;=50000,10%,5%))</f>
        <v>0.2</v>
      </c>
      <c r="X23" s="31">
        <f t="shared" si="2"/>
        <v>25300</v>
      </c>
      <c r="Y23" s="29" t="str">
        <f ca="1">IF(OR('Employee data'!$J23&gt;5,'Employee data'!$L23&gt;98),"Eligible","Not Eligible")</f>
        <v>Eligible</v>
      </c>
      <c r="Z23" s="31">
        <f t="shared" si="3"/>
        <v>91750</v>
      </c>
    </row>
    <row r="24" spans="1:26" x14ac:dyDescent="0.3">
      <c r="A24" s="33" t="s">
        <v>84</v>
      </c>
      <c r="B24" s="33" t="s">
        <v>85</v>
      </c>
      <c r="C24" s="33" t="s">
        <v>231</v>
      </c>
      <c r="D24" s="33" t="s">
        <v>86</v>
      </c>
      <c r="E24" s="33" t="s">
        <v>22</v>
      </c>
      <c r="F24" s="34">
        <v>34514</v>
      </c>
      <c r="G24" s="34">
        <v>43976</v>
      </c>
      <c r="H24" s="33" t="str">
        <f>VLOOKUP(TRIM('Employee data'!$C24),$A$108:$B$113,2,FALSE)</f>
        <v>Sales</v>
      </c>
      <c r="I24" s="33" t="s">
        <v>257</v>
      </c>
      <c r="J24" s="35">
        <f ca="1">ROUND(YEARFRAC('Employee data'!$G24,TODAY()),2)</f>
        <v>6.2</v>
      </c>
      <c r="K24" s="33">
        <v>3.6</v>
      </c>
      <c r="L24" s="33">
        <v>92</v>
      </c>
      <c r="M24" s="33">
        <v>36000</v>
      </c>
      <c r="N24" s="33">
        <v>12000</v>
      </c>
      <c r="O24" s="33">
        <v>5000</v>
      </c>
      <c r="P24" s="33" t="str">
        <f>IF('Employee data'!$M24&gt;=50000,"10%","5%")</f>
        <v>5%</v>
      </c>
      <c r="Q24" s="33">
        <f t="shared" si="0"/>
        <v>1800</v>
      </c>
      <c r="R24" s="33">
        <f>IF(AND('Employee data'!$K24&gt;=4,'Employee data'!$L24&gt;=95),5000,0)</f>
        <v>0</v>
      </c>
      <c r="S24" s="33">
        <f t="shared" si="1"/>
        <v>54800</v>
      </c>
      <c r="T24" s="33">
        <v>12</v>
      </c>
      <c r="U24" s="36">
        <f>'Employee data'!$M24/'Employee data'!$T24</f>
        <v>3000</v>
      </c>
      <c r="V24" s="33">
        <v>950</v>
      </c>
      <c r="W24" s="35">
        <f>IF('Employee data'!$S24&gt;=80000,20%,IF('Employee data'!$S24&gt;=50000,10%,5%))</f>
        <v>0.1</v>
      </c>
      <c r="X24" s="35">
        <f t="shared" si="2"/>
        <v>5480</v>
      </c>
      <c r="Y24" s="33" t="str">
        <f ca="1">IF(OR('Employee data'!$J24&gt;5,'Employee data'!$L24&gt;98),"Eligible","Not Eligible")</f>
        <v>Eligible</v>
      </c>
      <c r="Z24" s="35">
        <f t="shared" si="3"/>
        <v>45370</v>
      </c>
    </row>
    <row r="25" spans="1:26" x14ac:dyDescent="0.3">
      <c r="A25" s="29" t="s">
        <v>87</v>
      </c>
      <c r="B25" s="29" t="s">
        <v>88</v>
      </c>
      <c r="C25" s="29" t="s">
        <v>232</v>
      </c>
      <c r="D25" s="29" t="s">
        <v>89</v>
      </c>
      <c r="E25" s="29" t="s">
        <v>16</v>
      </c>
      <c r="F25" s="30">
        <v>33862</v>
      </c>
      <c r="G25" s="30">
        <v>43654</v>
      </c>
      <c r="H25" s="29" t="str">
        <f>VLOOKUP(TRIM('Employee data'!$C25),$A$108:$B$113,2,FALSE)</f>
        <v>Operations</v>
      </c>
      <c r="I25" s="29" t="s">
        <v>258</v>
      </c>
      <c r="J25" s="31">
        <f ca="1">ROUND(YEARFRAC('Employee data'!$G25,TODAY()),2)</f>
        <v>7.08</v>
      </c>
      <c r="K25" s="29">
        <v>4.4000000000000004</v>
      </c>
      <c r="L25" s="29">
        <v>96</v>
      </c>
      <c r="M25" s="29">
        <v>54000</v>
      </c>
      <c r="N25" s="29">
        <v>18000</v>
      </c>
      <c r="O25" s="29">
        <v>8500</v>
      </c>
      <c r="P25" s="29" t="str">
        <f>IF('Employee data'!$M25&gt;=50000,"10%","5%")</f>
        <v>10%</v>
      </c>
      <c r="Q25" s="29">
        <f t="shared" si="0"/>
        <v>5400</v>
      </c>
      <c r="R25" s="29">
        <f>IF(AND('Employee data'!$K25&gt;=4,'Employee data'!$L25&gt;=95),5000,0)</f>
        <v>5000</v>
      </c>
      <c r="S25" s="29">
        <f t="shared" si="1"/>
        <v>90900</v>
      </c>
      <c r="T25" s="29">
        <v>12</v>
      </c>
      <c r="U25" s="32">
        <f>'Employee data'!$M25/'Employee data'!$T25</f>
        <v>4500</v>
      </c>
      <c r="V25" s="29">
        <v>1700</v>
      </c>
      <c r="W25" s="31">
        <f>IF('Employee data'!$S25&gt;=80000,20%,IF('Employee data'!$S25&gt;=50000,10%,5%))</f>
        <v>0.2</v>
      </c>
      <c r="X25" s="31">
        <f t="shared" si="2"/>
        <v>18180</v>
      </c>
      <c r="Y25" s="29" t="str">
        <f ca="1">IF(OR('Employee data'!$J25&gt;5,'Employee data'!$L25&gt;98),"Eligible","Not Eligible")</f>
        <v>Eligible</v>
      </c>
      <c r="Z25" s="31">
        <f t="shared" si="3"/>
        <v>66520</v>
      </c>
    </row>
    <row r="26" spans="1:26" x14ac:dyDescent="0.3">
      <c r="A26" s="33" t="s">
        <v>90</v>
      </c>
      <c r="B26" s="33" t="s">
        <v>91</v>
      </c>
      <c r="C26" s="33" t="s">
        <v>233</v>
      </c>
      <c r="D26" s="33" t="s">
        <v>39</v>
      </c>
      <c r="E26" s="33" t="s">
        <v>22</v>
      </c>
      <c r="F26" s="34">
        <v>35401</v>
      </c>
      <c r="G26" s="34">
        <v>44816</v>
      </c>
      <c r="H26" s="33" t="str">
        <f>VLOOKUP(TRIM('Employee data'!$C26),$A$108:$B$113,2,FALSE)</f>
        <v>Support</v>
      </c>
      <c r="I26" s="33" t="s">
        <v>259</v>
      </c>
      <c r="J26" s="35">
        <f ca="1">ROUND(YEARFRAC('Employee data'!$G26,TODAY()),2)</f>
        <v>3.9</v>
      </c>
      <c r="K26" s="33">
        <v>3.5</v>
      </c>
      <c r="L26" s="33">
        <v>90</v>
      </c>
      <c r="M26" s="33">
        <v>35000</v>
      </c>
      <c r="N26" s="33">
        <v>12000</v>
      </c>
      <c r="O26" s="33">
        <v>5000</v>
      </c>
      <c r="P26" s="33" t="str">
        <f>IF('Employee data'!$M26&gt;=50000,"10%","5%")</f>
        <v>5%</v>
      </c>
      <c r="Q26" s="33">
        <f t="shared" si="0"/>
        <v>1750</v>
      </c>
      <c r="R26" s="33">
        <f>IF(AND('Employee data'!$K26&gt;=4,'Employee data'!$L26&gt;=95),5000,0)</f>
        <v>0</v>
      </c>
      <c r="S26" s="33">
        <f t="shared" si="1"/>
        <v>53750</v>
      </c>
      <c r="T26" s="33">
        <v>12</v>
      </c>
      <c r="U26" s="36">
        <f>'Employee data'!$M26/'Employee data'!$T26</f>
        <v>2916.6666666666665</v>
      </c>
      <c r="V26" s="33">
        <v>900</v>
      </c>
      <c r="W26" s="35">
        <f>IF('Employee data'!$S26&gt;=80000,20%,IF('Employee data'!$S26&gt;=50000,10%,5%))</f>
        <v>0.1</v>
      </c>
      <c r="X26" s="35">
        <f t="shared" si="2"/>
        <v>5375</v>
      </c>
      <c r="Y26" s="33" t="str">
        <f ca="1">IF(OR('Employee data'!$J26&gt;5,'Employee data'!$L26&gt;98),"Eligible","Not Eligible")</f>
        <v>Not Eligible</v>
      </c>
      <c r="Z26" s="35">
        <f t="shared" si="3"/>
        <v>44558.333333333336</v>
      </c>
    </row>
    <row r="27" spans="1:26" x14ac:dyDescent="0.3">
      <c r="A27" s="29" t="s">
        <v>92</v>
      </c>
      <c r="B27" s="29" t="s">
        <v>93</v>
      </c>
      <c r="C27" s="29" t="s">
        <v>228</v>
      </c>
      <c r="D27" s="29" t="s">
        <v>94</v>
      </c>
      <c r="E27" s="29" t="s">
        <v>16</v>
      </c>
      <c r="F27" s="30">
        <v>34293</v>
      </c>
      <c r="G27" s="30">
        <v>43178</v>
      </c>
      <c r="H27" s="29" t="str">
        <f>VLOOKUP(TRIM('Employee data'!$C27),$A$108:$B$113,2,FALSE)</f>
        <v>IT</v>
      </c>
      <c r="I27" s="29" t="s">
        <v>260</v>
      </c>
      <c r="J27" s="31">
        <f ca="1">ROUND(YEARFRAC('Employee data'!$G27,TODAY()),2)</f>
        <v>8.3800000000000008</v>
      </c>
      <c r="K27" s="29">
        <v>4.3</v>
      </c>
      <c r="L27" s="29">
        <v>94</v>
      </c>
      <c r="M27" s="29">
        <v>47000</v>
      </c>
      <c r="N27" s="29">
        <v>16000</v>
      </c>
      <c r="O27" s="29">
        <v>7000</v>
      </c>
      <c r="P27" s="29" t="str">
        <f>IF('Employee data'!$M27&gt;=50000,"10%","5%")</f>
        <v>5%</v>
      </c>
      <c r="Q27" s="29">
        <f t="shared" si="0"/>
        <v>2350</v>
      </c>
      <c r="R27" s="29">
        <f>IF(AND('Employee data'!$K27&gt;=4,'Employee data'!$L27&gt;=95),5000,0)</f>
        <v>0</v>
      </c>
      <c r="S27" s="29">
        <f t="shared" si="1"/>
        <v>72350</v>
      </c>
      <c r="T27" s="29">
        <v>12</v>
      </c>
      <c r="U27" s="32">
        <f>'Employee data'!$M27/'Employee data'!$T27</f>
        <v>3916.6666666666665</v>
      </c>
      <c r="V27" s="29">
        <v>1500</v>
      </c>
      <c r="W27" s="31">
        <f>IF('Employee data'!$S27&gt;=80000,20%,IF('Employee data'!$S27&gt;=50000,10%,5%))</f>
        <v>0.1</v>
      </c>
      <c r="X27" s="31">
        <f t="shared" si="2"/>
        <v>7235</v>
      </c>
      <c r="Y27" s="29" t="str">
        <f ca="1">IF(OR('Employee data'!$J27&gt;5,'Employee data'!$L27&gt;98),"Eligible","Not Eligible")</f>
        <v>Eligible</v>
      </c>
      <c r="Z27" s="31">
        <f t="shared" si="3"/>
        <v>59698.333333333336</v>
      </c>
    </row>
    <row r="28" spans="1:26" x14ac:dyDescent="0.3">
      <c r="A28" s="33" t="s">
        <v>95</v>
      </c>
      <c r="B28" s="33" t="s">
        <v>96</v>
      </c>
      <c r="C28" s="33" t="s">
        <v>229</v>
      </c>
      <c r="D28" s="33" t="s">
        <v>97</v>
      </c>
      <c r="E28" s="33" t="s">
        <v>22</v>
      </c>
      <c r="F28" s="34">
        <v>35531</v>
      </c>
      <c r="G28" s="34">
        <v>45005</v>
      </c>
      <c r="H28" s="33" t="str">
        <f>VLOOKUP(TRIM('Employee data'!$C28),$A$108:$B$113,2,FALSE)</f>
        <v>HR</v>
      </c>
      <c r="I28" s="33" t="s">
        <v>261</v>
      </c>
      <c r="J28" s="35">
        <f ca="1">ROUND(YEARFRAC('Employee data'!$G28,TODAY()),2)</f>
        <v>3.38</v>
      </c>
      <c r="K28" s="33">
        <v>3.2</v>
      </c>
      <c r="L28" s="33">
        <v>88</v>
      </c>
      <c r="M28" s="33">
        <v>29000</v>
      </c>
      <c r="N28" s="33">
        <v>9500</v>
      </c>
      <c r="O28" s="33">
        <v>3500</v>
      </c>
      <c r="P28" s="33" t="str">
        <f>IF('Employee data'!$M28&gt;=50000,"10%","5%")</f>
        <v>5%</v>
      </c>
      <c r="Q28" s="33">
        <f t="shared" si="0"/>
        <v>1450</v>
      </c>
      <c r="R28" s="33">
        <f>IF(AND('Employee data'!$K28&gt;=4,'Employee data'!$L28&gt;=95),5000,0)</f>
        <v>0</v>
      </c>
      <c r="S28" s="33">
        <f t="shared" si="1"/>
        <v>43450</v>
      </c>
      <c r="T28" s="33">
        <v>12</v>
      </c>
      <c r="U28" s="36">
        <f>'Employee data'!$M28/'Employee data'!$T28</f>
        <v>2416.6666666666665</v>
      </c>
      <c r="V28" s="33">
        <v>700</v>
      </c>
      <c r="W28" s="35">
        <f>IF('Employee data'!$S28&gt;=80000,20%,IF('Employee data'!$S28&gt;=50000,10%,5%))</f>
        <v>0.05</v>
      </c>
      <c r="X28" s="35">
        <f t="shared" si="2"/>
        <v>2172.5</v>
      </c>
      <c r="Y28" s="33" t="str">
        <f ca="1">IF(OR('Employee data'!$J28&gt;5,'Employee data'!$L28&gt;98),"Eligible","Not Eligible")</f>
        <v>Not Eligible</v>
      </c>
      <c r="Z28" s="35">
        <f t="shared" si="3"/>
        <v>38160.833333333336</v>
      </c>
    </row>
    <row r="29" spans="1:26" x14ac:dyDescent="0.3">
      <c r="A29" s="29" t="s">
        <v>98</v>
      </c>
      <c r="B29" s="29" t="s">
        <v>99</v>
      </c>
      <c r="C29" s="29" t="s">
        <v>230</v>
      </c>
      <c r="D29" s="29" t="s">
        <v>100</v>
      </c>
      <c r="E29" s="29" t="s">
        <v>16</v>
      </c>
      <c r="F29" s="30">
        <v>33477</v>
      </c>
      <c r="G29" s="30">
        <v>43083</v>
      </c>
      <c r="H29" s="29" t="str">
        <f>VLOOKUP(TRIM('Employee data'!$C29),$A$108:$B$113,2,FALSE)</f>
        <v>Finance</v>
      </c>
      <c r="I29" s="29" t="s">
        <v>262</v>
      </c>
      <c r="J29" s="31">
        <f ca="1">ROUND(YEARFRAC('Employee data'!$G29,TODAY()),2)</f>
        <v>8.64</v>
      </c>
      <c r="K29" s="29">
        <v>4.5999999999999996</v>
      </c>
      <c r="L29" s="29">
        <v>98</v>
      </c>
      <c r="M29" s="29">
        <v>50000</v>
      </c>
      <c r="N29" s="29">
        <v>16500</v>
      </c>
      <c r="O29" s="29">
        <v>7500</v>
      </c>
      <c r="P29" s="29" t="str">
        <f>IF('Employee data'!$M29&gt;=50000,"10%","5%")</f>
        <v>10%</v>
      </c>
      <c r="Q29" s="29">
        <f t="shared" si="0"/>
        <v>5000</v>
      </c>
      <c r="R29" s="29">
        <f>IF(AND('Employee data'!$K29&gt;=4,'Employee data'!$L29&gt;=95),5000,0)</f>
        <v>5000</v>
      </c>
      <c r="S29" s="29">
        <f t="shared" si="1"/>
        <v>84000</v>
      </c>
      <c r="T29" s="29">
        <v>12</v>
      </c>
      <c r="U29" s="32">
        <f>'Employee data'!$M29/'Employee data'!$T29</f>
        <v>4166.666666666667</v>
      </c>
      <c r="V29" s="29">
        <v>1600</v>
      </c>
      <c r="W29" s="31">
        <f>IF('Employee data'!$S29&gt;=80000,20%,IF('Employee data'!$S29&gt;=50000,10%,5%))</f>
        <v>0.2</v>
      </c>
      <c r="X29" s="31">
        <f t="shared" si="2"/>
        <v>16800</v>
      </c>
      <c r="Y29" s="29" t="str">
        <f ca="1">IF(OR('Employee data'!$J29&gt;5,'Employee data'!$L29&gt;98),"Eligible","Not Eligible")</f>
        <v>Eligible</v>
      </c>
      <c r="Z29" s="31">
        <f t="shared" si="3"/>
        <v>61433.333333333336</v>
      </c>
    </row>
    <row r="30" spans="1:26" x14ac:dyDescent="0.3">
      <c r="A30" s="33" t="s">
        <v>101</v>
      </c>
      <c r="B30" s="33" t="s">
        <v>102</v>
      </c>
      <c r="C30" s="33" t="s">
        <v>231</v>
      </c>
      <c r="D30" s="33" t="s">
        <v>103</v>
      </c>
      <c r="E30" s="33" t="s">
        <v>22</v>
      </c>
      <c r="F30" s="34">
        <v>35931</v>
      </c>
      <c r="G30" s="34">
        <v>44753</v>
      </c>
      <c r="H30" s="33" t="str">
        <f>VLOOKUP(TRIM('Employee data'!$C30),$A$108:$B$113,2,FALSE)</f>
        <v>Sales</v>
      </c>
      <c r="I30" s="33" t="s">
        <v>263</v>
      </c>
      <c r="J30" s="35">
        <f ca="1">ROUND(YEARFRAC('Employee data'!$G30,TODAY()),2)</f>
        <v>4.07</v>
      </c>
      <c r="K30" s="33">
        <v>3.4</v>
      </c>
      <c r="L30" s="33">
        <v>91</v>
      </c>
      <c r="M30" s="33">
        <v>30500</v>
      </c>
      <c r="N30" s="33">
        <v>10200</v>
      </c>
      <c r="O30" s="33">
        <v>3800</v>
      </c>
      <c r="P30" s="33" t="str">
        <f>IF('Employee data'!$M30&gt;=50000,"10%","5%")</f>
        <v>5%</v>
      </c>
      <c r="Q30" s="33">
        <f t="shared" si="0"/>
        <v>1525</v>
      </c>
      <c r="R30" s="33">
        <f>IF(AND('Employee data'!$K30&gt;=4,'Employee data'!$L30&gt;=95),5000,0)</f>
        <v>0</v>
      </c>
      <c r="S30" s="33">
        <f t="shared" si="1"/>
        <v>46025</v>
      </c>
      <c r="T30" s="33">
        <v>12</v>
      </c>
      <c r="U30" s="36">
        <f>'Employee data'!$M30/'Employee data'!$T30</f>
        <v>2541.6666666666665</v>
      </c>
      <c r="V30" s="33">
        <v>800</v>
      </c>
      <c r="W30" s="35">
        <f>IF('Employee data'!$S30&gt;=80000,20%,IF('Employee data'!$S30&gt;=50000,10%,5%))</f>
        <v>0.05</v>
      </c>
      <c r="X30" s="35">
        <f t="shared" si="2"/>
        <v>2301.25</v>
      </c>
      <c r="Y30" s="33" t="str">
        <f ca="1">IF(OR('Employee data'!$J30&gt;5,'Employee data'!$L30&gt;98),"Eligible","Not Eligible")</f>
        <v>Not Eligible</v>
      </c>
      <c r="Z30" s="35">
        <f t="shared" si="3"/>
        <v>40382.083333333336</v>
      </c>
    </row>
    <row r="31" spans="1:26" x14ac:dyDescent="0.3">
      <c r="A31" s="29" t="s">
        <v>104</v>
      </c>
      <c r="B31" s="29" t="s">
        <v>105</v>
      </c>
      <c r="C31" s="29" t="s">
        <v>232</v>
      </c>
      <c r="D31" s="29" t="s">
        <v>106</v>
      </c>
      <c r="E31" s="29" t="s">
        <v>16</v>
      </c>
      <c r="F31" s="30">
        <v>34365</v>
      </c>
      <c r="G31" s="30">
        <v>43857</v>
      </c>
      <c r="H31" s="29" t="str">
        <f>VLOOKUP(TRIM('Employee data'!$C31),$A$108:$B$113,2,FALSE)</f>
        <v>Operations</v>
      </c>
      <c r="I31" s="29" t="s">
        <v>264</v>
      </c>
      <c r="J31" s="31">
        <f ca="1">ROUND(YEARFRAC('Employee data'!$G31,TODAY()),2)</f>
        <v>6.53</v>
      </c>
      <c r="K31" s="29">
        <v>4.0999999999999996</v>
      </c>
      <c r="L31" s="29">
        <v>95</v>
      </c>
      <c r="M31" s="29">
        <v>38500</v>
      </c>
      <c r="N31" s="29">
        <v>12800</v>
      </c>
      <c r="O31" s="29">
        <v>5200</v>
      </c>
      <c r="P31" s="29" t="str">
        <f>IF('Employee data'!$M31&gt;=50000,"10%","5%")</f>
        <v>5%</v>
      </c>
      <c r="Q31" s="29">
        <f t="shared" si="0"/>
        <v>1925</v>
      </c>
      <c r="R31" s="29">
        <f>IF(AND('Employee data'!$K31&gt;=4,'Employee data'!$L31&gt;=95),5000,0)</f>
        <v>5000</v>
      </c>
      <c r="S31" s="29">
        <f t="shared" si="1"/>
        <v>63425</v>
      </c>
      <c r="T31" s="29">
        <v>12</v>
      </c>
      <c r="U31" s="32">
        <f>'Employee data'!$M31/'Employee data'!$T31</f>
        <v>3208.3333333333335</v>
      </c>
      <c r="V31" s="29">
        <v>1000</v>
      </c>
      <c r="W31" s="31">
        <f>IF('Employee data'!$S31&gt;=80000,20%,IF('Employee data'!$S31&gt;=50000,10%,5%))</f>
        <v>0.1</v>
      </c>
      <c r="X31" s="31">
        <f t="shared" si="2"/>
        <v>6342.5</v>
      </c>
      <c r="Y31" s="29" t="str">
        <f ca="1">IF(OR('Employee data'!$J31&gt;5,'Employee data'!$L31&gt;98),"Eligible","Not Eligible")</f>
        <v>Eligible</v>
      </c>
      <c r="Z31" s="31">
        <f t="shared" si="3"/>
        <v>52874.166666666664</v>
      </c>
    </row>
    <row r="32" spans="1:26" x14ac:dyDescent="0.3">
      <c r="A32" s="33" t="s">
        <v>107</v>
      </c>
      <c r="B32" s="33" t="s">
        <v>108</v>
      </c>
      <c r="C32" s="33" t="s">
        <v>233</v>
      </c>
      <c r="D32" s="33" t="s">
        <v>109</v>
      </c>
      <c r="E32" s="33" t="s">
        <v>22</v>
      </c>
      <c r="F32" s="34">
        <v>34951</v>
      </c>
      <c r="G32" s="34">
        <v>44522</v>
      </c>
      <c r="H32" s="33" t="str">
        <f>VLOOKUP(TRIM('Employee data'!$C32),$A$108:$B$113,2,FALSE)</f>
        <v>Support</v>
      </c>
      <c r="I32" s="33" t="s">
        <v>265</v>
      </c>
      <c r="J32" s="35">
        <f ca="1">ROUND(YEARFRAC('Employee data'!$G32,TODAY()),2)</f>
        <v>4.71</v>
      </c>
      <c r="K32" s="33">
        <v>3.7</v>
      </c>
      <c r="L32" s="33">
        <v>93</v>
      </c>
      <c r="M32" s="33">
        <v>34500</v>
      </c>
      <c r="N32" s="33">
        <v>11800</v>
      </c>
      <c r="O32" s="33">
        <v>4700</v>
      </c>
      <c r="P32" s="33" t="str">
        <f>IF('Employee data'!$M32&gt;=50000,"10%","5%")</f>
        <v>5%</v>
      </c>
      <c r="Q32" s="33">
        <f t="shared" si="0"/>
        <v>1725</v>
      </c>
      <c r="R32" s="33">
        <f>IF(AND('Employee data'!$K32&gt;=4,'Employee data'!$L32&gt;=95),5000,0)</f>
        <v>0</v>
      </c>
      <c r="S32" s="33">
        <f t="shared" si="1"/>
        <v>52725</v>
      </c>
      <c r="T32" s="33">
        <v>12</v>
      </c>
      <c r="U32" s="36">
        <f>'Employee data'!$M32/'Employee data'!$T32</f>
        <v>2875</v>
      </c>
      <c r="V32" s="33">
        <v>850</v>
      </c>
      <c r="W32" s="35">
        <f>IF('Employee data'!$S32&gt;=80000,20%,IF('Employee data'!$S32&gt;=50000,10%,5%))</f>
        <v>0.1</v>
      </c>
      <c r="X32" s="35">
        <f t="shared" si="2"/>
        <v>5272.5</v>
      </c>
      <c r="Y32" s="33" t="str">
        <f ca="1">IF(OR('Employee data'!$J32&gt;5,'Employee data'!$L32&gt;98),"Eligible","Not Eligible")</f>
        <v>Not Eligible</v>
      </c>
      <c r="Z32" s="35">
        <f t="shared" si="3"/>
        <v>43727.5</v>
      </c>
    </row>
    <row r="33" spans="1:26" x14ac:dyDescent="0.3">
      <c r="A33" s="29" t="s">
        <v>110</v>
      </c>
      <c r="B33" s="29" t="s">
        <v>111</v>
      </c>
      <c r="C33" s="29" t="s">
        <v>228</v>
      </c>
      <c r="D33" s="29" t="s">
        <v>112</v>
      </c>
      <c r="E33" s="29" t="s">
        <v>16</v>
      </c>
      <c r="F33" s="30">
        <v>32967</v>
      </c>
      <c r="G33" s="30">
        <v>42408</v>
      </c>
      <c r="H33" s="29" t="str">
        <f>VLOOKUP(TRIM('Employee data'!$C33),$A$108:$B$113,2,FALSE)</f>
        <v>IT</v>
      </c>
      <c r="I33" s="29" t="s">
        <v>266</v>
      </c>
      <c r="J33" s="31">
        <f ca="1">ROUND(YEARFRAC('Employee data'!$G33,TODAY()),2)</f>
        <v>10.49</v>
      </c>
      <c r="K33" s="29">
        <v>4.8</v>
      </c>
      <c r="L33" s="29">
        <v>99</v>
      </c>
      <c r="M33" s="29">
        <v>72000</v>
      </c>
      <c r="N33" s="29">
        <v>24500</v>
      </c>
      <c r="O33" s="29">
        <v>12500</v>
      </c>
      <c r="P33" s="29" t="str">
        <f>IF('Employee data'!$M33&gt;=50000,"10%","5%")</f>
        <v>10%</v>
      </c>
      <c r="Q33" s="29">
        <f t="shared" si="0"/>
        <v>7200</v>
      </c>
      <c r="R33" s="29">
        <f>IF(AND('Employee data'!$K33&gt;=4,'Employee data'!$L33&gt;=95),5000,0)</f>
        <v>5000</v>
      </c>
      <c r="S33" s="29">
        <f t="shared" si="1"/>
        <v>121200</v>
      </c>
      <c r="T33" s="29">
        <v>12</v>
      </c>
      <c r="U33" s="32">
        <f>'Employee data'!$M33/'Employee data'!$T33</f>
        <v>6000</v>
      </c>
      <c r="V33" s="29">
        <v>3000</v>
      </c>
      <c r="W33" s="31">
        <f>IF('Employee data'!$S33&gt;=80000,20%,IF('Employee data'!$S33&gt;=50000,10%,5%))</f>
        <v>0.2</v>
      </c>
      <c r="X33" s="31">
        <f t="shared" si="2"/>
        <v>24240</v>
      </c>
      <c r="Y33" s="29" t="str">
        <f ca="1">IF(OR('Employee data'!$J33&gt;5,'Employee data'!$L33&gt;98),"Eligible","Not Eligible")</f>
        <v>Eligible</v>
      </c>
      <c r="Z33" s="31">
        <f t="shared" si="3"/>
        <v>87960</v>
      </c>
    </row>
    <row r="34" spans="1:26" x14ac:dyDescent="0.3">
      <c r="A34" s="33" t="s">
        <v>113</v>
      </c>
      <c r="B34" s="33" t="s">
        <v>114</v>
      </c>
      <c r="C34" s="33" t="s">
        <v>229</v>
      </c>
      <c r="D34" s="33" t="s">
        <v>115</v>
      </c>
      <c r="E34" s="33" t="s">
        <v>22</v>
      </c>
      <c r="F34" s="34">
        <v>32708</v>
      </c>
      <c r="G34" s="34">
        <v>42142</v>
      </c>
      <c r="H34" s="33" t="str">
        <f>VLOOKUP(TRIM('Employee data'!$C34),$A$108:$B$113,2,FALSE)</f>
        <v>HR</v>
      </c>
      <c r="I34" s="33" t="s">
        <v>267</v>
      </c>
      <c r="J34" s="35">
        <f ca="1">ROUND(YEARFRAC('Employee data'!$G34,TODAY()),2)</f>
        <v>11.22</v>
      </c>
      <c r="K34" s="33">
        <v>4.2</v>
      </c>
      <c r="L34" s="33">
        <v>96</v>
      </c>
      <c r="M34" s="33">
        <v>80000</v>
      </c>
      <c r="N34" s="33">
        <v>28000</v>
      </c>
      <c r="O34" s="33">
        <v>15000</v>
      </c>
      <c r="P34" s="33" t="str">
        <f>IF('Employee data'!$M34&gt;=50000,"10%","5%")</f>
        <v>10%</v>
      </c>
      <c r="Q34" s="33">
        <f t="shared" si="0"/>
        <v>8000</v>
      </c>
      <c r="R34" s="33">
        <f>IF(AND('Employee data'!$K34&gt;=4,'Employee data'!$L34&gt;=95),5000,0)</f>
        <v>5000</v>
      </c>
      <c r="S34" s="33">
        <f t="shared" si="1"/>
        <v>136000</v>
      </c>
      <c r="T34" s="33">
        <v>12</v>
      </c>
      <c r="U34" s="36">
        <f>'Employee data'!$M34/'Employee data'!$T34</f>
        <v>6666.666666666667</v>
      </c>
      <c r="V34" s="33">
        <v>3500</v>
      </c>
      <c r="W34" s="35">
        <f>IF('Employee data'!$S34&gt;=80000,20%,IF('Employee data'!$S34&gt;=50000,10%,5%))</f>
        <v>0.2</v>
      </c>
      <c r="X34" s="35">
        <f t="shared" si="2"/>
        <v>27200</v>
      </c>
      <c r="Y34" s="33" t="str">
        <f ca="1">IF(OR('Employee data'!$J34&gt;5,'Employee data'!$L34&gt;98),"Eligible","Not Eligible")</f>
        <v>Eligible</v>
      </c>
      <c r="Z34" s="35">
        <f t="shared" si="3"/>
        <v>98633.333333333328</v>
      </c>
    </row>
    <row r="35" spans="1:26" x14ac:dyDescent="0.3">
      <c r="A35" s="29" t="s">
        <v>116</v>
      </c>
      <c r="B35" s="29" t="s">
        <v>117</v>
      </c>
      <c r="C35" s="29" t="s">
        <v>230</v>
      </c>
      <c r="D35" s="29" t="s">
        <v>118</v>
      </c>
      <c r="E35" s="29" t="s">
        <v>16</v>
      </c>
      <c r="F35" s="30">
        <v>32060</v>
      </c>
      <c r="G35" s="30">
        <v>41519</v>
      </c>
      <c r="H35" s="29" t="str">
        <f>VLOOKUP(TRIM('Employee data'!$C35),$A$108:$B$113,2,FALSE)</f>
        <v>Finance</v>
      </c>
      <c r="I35" s="29" t="s">
        <v>268</v>
      </c>
      <c r="J35" s="31">
        <f ca="1">ROUND(YEARFRAC('Employee data'!$G35,TODAY()),2)</f>
        <v>12.93</v>
      </c>
      <c r="K35" s="29">
        <v>4.9000000000000004</v>
      </c>
      <c r="L35" s="29">
        <v>97</v>
      </c>
      <c r="M35" s="29">
        <v>78000</v>
      </c>
      <c r="N35" s="29">
        <v>27000</v>
      </c>
      <c r="O35" s="29">
        <v>14000</v>
      </c>
      <c r="P35" s="29" t="str">
        <f>IF('Employee data'!$M35&gt;=50000,"10%","5%")</f>
        <v>10%</v>
      </c>
      <c r="Q35" s="29">
        <f t="shared" si="0"/>
        <v>7800</v>
      </c>
      <c r="R35" s="29">
        <f>IF(AND('Employee data'!$K35&gt;=4,'Employee data'!$L35&gt;=95),5000,0)</f>
        <v>5000</v>
      </c>
      <c r="S35" s="29">
        <f t="shared" si="1"/>
        <v>131800</v>
      </c>
      <c r="T35" s="29">
        <v>12</v>
      </c>
      <c r="U35" s="32">
        <f>'Employee data'!$M35/'Employee data'!$T35</f>
        <v>6500</v>
      </c>
      <c r="V35" s="29">
        <v>3300</v>
      </c>
      <c r="W35" s="31">
        <f>IF('Employee data'!$S35&gt;=80000,20%,IF('Employee data'!$S35&gt;=50000,10%,5%))</f>
        <v>0.2</v>
      </c>
      <c r="X35" s="31">
        <f t="shared" si="2"/>
        <v>26360</v>
      </c>
      <c r="Y35" s="29" t="str">
        <f ca="1">IF(OR('Employee data'!$J35&gt;5,'Employee data'!$L35&gt;98),"Eligible","Not Eligible")</f>
        <v>Eligible</v>
      </c>
      <c r="Z35" s="31">
        <f t="shared" si="3"/>
        <v>95640</v>
      </c>
    </row>
    <row r="36" spans="1:26" x14ac:dyDescent="0.3">
      <c r="A36" s="33" t="s">
        <v>119</v>
      </c>
      <c r="B36" s="33" t="s">
        <v>120</v>
      </c>
      <c r="C36" s="33" t="s">
        <v>231</v>
      </c>
      <c r="D36" s="33" t="s">
        <v>121</v>
      </c>
      <c r="E36" s="33" t="s">
        <v>22</v>
      </c>
      <c r="F36" s="34">
        <v>33322</v>
      </c>
      <c r="G36" s="34">
        <v>42758</v>
      </c>
      <c r="H36" s="33" t="str">
        <f>VLOOKUP(TRIM('Employee data'!$C36),$A$108:$B$113,2,FALSE)</f>
        <v>Sales</v>
      </c>
      <c r="I36" s="33" t="s">
        <v>269</v>
      </c>
      <c r="J36" s="35">
        <f ca="1">ROUND(YEARFRAC('Employee data'!$G36,TODAY()),2)</f>
        <v>9.5399999999999991</v>
      </c>
      <c r="K36" s="33">
        <v>4</v>
      </c>
      <c r="L36" s="33">
        <v>94</v>
      </c>
      <c r="M36" s="33">
        <v>65000</v>
      </c>
      <c r="N36" s="33">
        <v>22000</v>
      </c>
      <c r="O36" s="33">
        <v>10000</v>
      </c>
      <c r="P36" s="33" t="str">
        <f>IF('Employee data'!$M36&gt;=50000,"10%","5%")</f>
        <v>10%</v>
      </c>
      <c r="Q36" s="33">
        <f t="shared" si="0"/>
        <v>6500</v>
      </c>
      <c r="R36" s="33">
        <f>IF(AND('Employee data'!$K36&gt;=4,'Employee data'!$L36&gt;=95),5000,0)</f>
        <v>0</v>
      </c>
      <c r="S36" s="33">
        <f t="shared" si="1"/>
        <v>103500</v>
      </c>
      <c r="T36" s="33">
        <v>12</v>
      </c>
      <c r="U36" s="36">
        <f>'Employee data'!$M36/'Employee data'!$T36</f>
        <v>5416.666666666667</v>
      </c>
      <c r="V36" s="33">
        <v>2500</v>
      </c>
      <c r="W36" s="35">
        <f>IF('Employee data'!$S36&gt;=80000,20%,IF('Employee data'!$S36&gt;=50000,10%,5%))</f>
        <v>0.2</v>
      </c>
      <c r="X36" s="35">
        <f t="shared" si="2"/>
        <v>20700</v>
      </c>
      <c r="Y36" s="33" t="str">
        <f ca="1">IF(OR('Employee data'!$J36&gt;5,'Employee data'!$L36&gt;98),"Eligible","Not Eligible")</f>
        <v>Eligible</v>
      </c>
      <c r="Z36" s="35">
        <f t="shared" si="3"/>
        <v>74883.333333333328</v>
      </c>
    </row>
    <row r="37" spans="1:26" x14ac:dyDescent="0.3">
      <c r="A37" s="29" t="s">
        <v>122</v>
      </c>
      <c r="B37" s="29" t="s">
        <v>123</v>
      </c>
      <c r="C37" s="29" t="s">
        <v>232</v>
      </c>
      <c r="D37" s="29" t="s">
        <v>124</v>
      </c>
      <c r="E37" s="29" t="s">
        <v>16</v>
      </c>
      <c r="F37" s="30">
        <v>32483</v>
      </c>
      <c r="G37" s="30">
        <v>41806</v>
      </c>
      <c r="H37" s="29" t="str">
        <f>VLOOKUP(TRIM('Employee data'!$C37),$A$108:$B$113,2,FALSE)</f>
        <v>Operations</v>
      </c>
      <c r="I37" s="29" t="s">
        <v>270</v>
      </c>
      <c r="J37" s="31">
        <f ca="1">ROUND(YEARFRAC('Employee data'!$G37,TODAY()),2)</f>
        <v>12.14</v>
      </c>
      <c r="K37" s="29">
        <v>4.7</v>
      </c>
      <c r="L37" s="29">
        <v>98</v>
      </c>
      <c r="M37" s="29">
        <v>74000</v>
      </c>
      <c r="N37" s="29">
        <v>25000</v>
      </c>
      <c r="O37" s="29">
        <v>12000</v>
      </c>
      <c r="P37" s="29" t="str">
        <f>IF('Employee data'!$M37&gt;=50000,"10%","5%")</f>
        <v>10%</v>
      </c>
      <c r="Q37" s="29">
        <f t="shared" si="0"/>
        <v>7400</v>
      </c>
      <c r="R37" s="29">
        <f>IF(AND('Employee data'!$K37&gt;=4,'Employee data'!$L37&gt;=95),5000,0)</f>
        <v>5000</v>
      </c>
      <c r="S37" s="29">
        <f t="shared" si="1"/>
        <v>123400</v>
      </c>
      <c r="T37" s="29">
        <v>12</v>
      </c>
      <c r="U37" s="32">
        <f>'Employee data'!$M37/'Employee data'!$T37</f>
        <v>6166.666666666667</v>
      </c>
      <c r="V37" s="29">
        <v>3000</v>
      </c>
      <c r="W37" s="31">
        <f>IF('Employee data'!$S37&gt;=80000,20%,IF('Employee data'!$S37&gt;=50000,10%,5%))</f>
        <v>0.2</v>
      </c>
      <c r="X37" s="31">
        <f t="shared" si="2"/>
        <v>24680</v>
      </c>
      <c r="Y37" s="29" t="str">
        <f ca="1">IF(OR('Employee data'!$J37&gt;5,'Employee data'!$L37&gt;98),"Eligible","Not Eligible")</f>
        <v>Eligible</v>
      </c>
      <c r="Z37" s="31">
        <f t="shared" si="3"/>
        <v>89553.333333333328</v>
      </c>
    </row>
    <row r="38" spans="1:26" x14ac:dyDescent="0.3">
      <c r="A38" s="33" t="s">
        <v>125</v>
      </c>
      <c r="B38" s="33" t="s">
        <v>126</v>
      </c>
      <c r="C38" s="33" t="s">
        <v>233</v>
      </c>
      <c r="D38" s="33" t="s">
        <v>127</v>
      </c>
      <c r="E38" s="33" t="s">
        <v>22</v>
      </c>
      <c r="F38" s="34">
        <v>34028</v>
      </c>
      <c r="G38" s="34">
        <v>43752</v>
      </c>
      <c r="H38" s="33" t="str">
        <f>VLOOKUP(TRIM('Employee data'!$C38),$A$108:$B$113,2,FALSE)</f>
        <v>Support</v>
      </c>
      <c r="I38" s="33" t="s">
        <v>271</v>
      </c>
      <c r="J38" s="35">
        <f ca="1">ROUND(YEARFRAC('Employee data'!$G38,TODAY()),2)</f>
        <v>6.81</v>
      </c>
      <c r="K38" s="33">
        <v>3.8</v>
      </c>
      <c r="L38" s="33">
        <v>92</v>
      </c>
      <c r="M38" s="33">
        <v>42000</v>
      </c>
      <c r="N38" s="33">
        <v>14000</v>
      </c>
      <c r="O38" s="33">
        <v>6000</v>
      </c>
      <c r="P38" s="33" t="str">
        <f>IF('Employee data'!$M38&gt;=50000,"10%","5%")</f>
        <v>5%</v>
      </c>
      <c r="Q38" s="33">
        <f t="shared" si="0"/>
        <v>2100</v>
      </c>
      <c r="R38" s="33">
        <f>IF(AND('Employee data'!$K38&gt;=4,'Employee data'!$L38&gt;=95),5000,0)</f>
        <v>0</v>
      </c>
      <c r="S38" s="33">
        <f t="shared" si="1"/>
        <v>64100</v>
      </c>
      <c r="T38" s="33">
        <v>12</v>
      </c>
      <c r="U38" s="36">
        <f>'Employee data'!$M38/'Employee data'!$T38</f>
        <v>3500</v>
      </c>
      <c r="V38" s="33">
        <v>1200</v>
      </c>
      <c r="W38" s="35">
        <f>IF('Employee data'!$S38&gt;=80000,20%,IF('Employee data'!$S38&gt;=50000,10%,5%))</f>
        <v>0.1</v>
      </c>
      <c r="X38" s="35">
        <f t="shared" si="2"/>
        <v>6410</v>
      </c>
      <c r="Y38" s="33" t="str">
        <f ca="1">IF(OR('Employee data'!$J38&gt;5,'Employee data'!$L38&gt;98),"Eligible","Not Eligible")</f>
        <v>Eligible</v>
      </c>
      <c r="Z38" s="35">
        <f t="shared" si="3"/>
        <v>52990</v>
      </c>
    </row>
    <row r="39" spans="1:26" x14ac:dyDescent="0.3">
      <c r="A39" s="29" t="s">
        <v>128</v>
      </c>
      <c r="B39" s="29" t="s">
        <v>129</v>
      </c>
      <c r="C39" s="29" t="s">
        <v>228</v>
      </c>
      <c r="D39" s="29" t="s">
        <v>130</v>
      </c>
      <c r="E39" s="29" t="s">
        <v>16</v>
      </c>
      <c r="F39" s="30">
        <v>33760</v>
      </c>
      <c r="G39" s="30">
        <v>43332</v>
      </c>
      <c r="H39" s="29" t="str">
        <f>VLOOKUP(TRIM('Employee data'!$C39),$A$108:$B$113,2,FALSE)</f>
        <v>IT</v>
      </c>
      <c r="I39" s="29" t="s">
        <v>272</v>
      </c>
      <c r="J39" s="31">
        <f ca="1">ROUND(YEARFRAC('Employee data'!$G39,TODAY()),2)</f>
        <v>7.96</v>
      </c>
      <c r="K39" s="29">
        <v>4.5</v>
      </c>
      <c r="L39" s="29">
        <v>95</v>
      </c>
      <c r="M39" s="29">
        <v>51000</v>
      </c>
      <c r="N39" s="29">
        <v>17500</v>
      </c>
      <c r="O39" s="29">
        <v>8000</v>
      </c>
      <c r="P39" s="29" t="str">
        <f>IF('Employee data'!$M39&gt;=50000,"10%","5%")</f>
        <v>10%</v>
      </c>
      <c r="Q39" s="29">
        <f t="shared" si="0"/>
        <v>5100</v>
      </c>
      <c r="R39" s="29">
        <f>IF(AND('Employee data'!$K39&gt;=4,'Employee data'!$L39&gt;=95),5000,0)</f>
        <v>5000</v>
      </c>
      <c r="S39" s="29">
        <f t="shared" si="1"/>
        <v>86600</v>
      </c>
      <c r="T39" s="29">
        <v>12</v>
      </c>
      <c r="U39" s="32">
        <f>'Employee data'!$M39/'Employee data'!$T39</f>
        <v>4250</v>
      </c>
      <c r="V39" s="29">
        <v>1800</v>
      </c>
      <c r="W39" s="31">
        <f>IF('Employee data'!$S39&gt;=80000,20%,IF('Employee data'!$S39&gt;=50000,10%,5%))</f>
        <v>0.2</v>
      </c>
      <c r="X39" s="31">
        <f t="shared" si="2"/>
        <v>17320</v>
      </c>
      <c r="Y39" s="29" t="str">
        <f ca="1">IF(OR('Employee data'!$J39&gt;5,'Employee data'!$L39&gt;98),"Eligible","Not Eligible")</f>
        <v>Eligible</v>
      </c>
      <c r="Z39" s="31">
        <f t="shared" si="3"/>
        <v>63230</v>
      </c>
    </row>
    <row r="40" spans="1:26" x14ac:dyDescent="0.3">
      <c r="A40" s="33" t="s">
        <v>131</v>
      </c>
      <c r="B40" s="33" t="s">
        <v>132</v>
      </c>
      <c r="C40" s="33" t="s">
        <v>229</v>
      </c>
      <c r="D40" s="33" t="s">
        <v>133</v>
      </c>
      <c r="E40" s="33" t="s">
        <v>22</v>
      </c>
      <c r="F40" s="34">
        <v>35382</v>
      </c>
      <c r="G40" s="34">
        <v>44599</v>
      </c>
      <c r="H40" s="33" t="str">
        <f>VLOOKUP(TRIM('Employee data'!$C40),$A$108:$B$113,2,FALSE)</f>
        <v>HR</v>
      </c>
      <c r="I40" s="33" t="s">
        <v>273</v>
      </c>
      <c r="J40" s="35">
        <f ca="1">ROUND(YEARFRAC('Employee data'!$G40,TODAY()),2)</f>
        <v>4.5</v>
      </c>
      <c r="K40" s="33">
        <v>3.9</v>
      </c>
      <c r="L40" s="33">
        <v>93</v>
      </c>
      <c r="M40" s="33">
        <v>37000</v>
      </c>
      <c r="N40" s="33">
        <v>12500</v>
      </c>
      <c r="O40" s="33">
        <v>5000</v>
      </c>
      <c r="P40" s="33" t="str">
        <f>IF('Employee data'!$M40&gt;=50000,"10%","5%")</f>
        <v>5%</v>
      </c>
      <c r="Q40" s="33">
        <f t="shared" si="0"/>
        <v>1850</v>
      </c>
      <c r="R40" s="33">
        <f>IF(AND('Employee data'!$K40&gt;=4,'Employee data'!$L40&gt;=95),5000,0)</f>
        <v>0</v>
      </c>
      <c r="S40" s="33">
        <f t="shared" si="1"/>
        <v>56350</v>
      </c>
      <c r="T40" s="33">
        <v>12</v>
      </c>
      <c r="U40" s="36">
        <f>'Employee data'!$M40/'Employee data'!$T40</f>
        <v>3083.3333333333335</v>
      </c>
      <c r="V40" s="33">
        <v>900</v>
      </c>
      <c r="W40" s="35">
        <f>IF('Employee data'!$S40&gt;=80000,20%,IF('Employee data'!$S40&gt;=50000,10%,5%))</f>
        <v>0.1</v>
      </c>
      <c r="X40" s="35">
        <f t="shared" si="2"/>
        <v>5635</v>
      </c>
      <c r="Y40" s="33" t="str">
        <f ca="1">IF(OR('Employee data'!$J40&gt;5,'Employee data'!$L40&gt;98),"Eligible","Not Eligible")</f>
        <v>Not Eligible</v>
      </c>
      <c r="Z40" s="35">
        <f t="shared" si="3"/>
        <v>46731.666666666664</v>
      </c>
    </row>
    <row r="41" spans="1:26" x14ac:dyDescent="0.3">
      <c r="A41" s="29" t="s">
        <v>134</v>
      </c>
      <c r="B41" s="29" t="s">
        <v>135</v>
      </c>
      <c r="C41" s="29" t="s">
        <v>230</v>
      </c>
      <c r="D41" s="29" t="s">
        <v>136</v>
      </c>
      <c r="E41" s="29" t="s">
        <v>16</v>
      </c>
      <c r="F41" s="30">
        <v>34568</v>
      </c>
      <c r="G41" s="30">
        <v>44166</v>
      </c>
      <c r="H41" s="29" t="str">
        <f>VLOOKUP(TRIM('Employee data'!$C41),$A$108:$B$113,2,FALSE)</f>
        <v>Finance</v>
      </c>
      <c r="I41" s="29" t="s">
        <v>274</v>
      </c>
      <c r="J41" s="31">
        <f ca="1">ROUND(YEARFRAC('Employee data'!$G41,TODAY()),2)</f>
        <v>5.68</v>
      </c>
      <c r="K41" s="29">
        <v>4.5999999999999996</v>
      </c>
      <c r="L41" s="29">
        <v>97</v>
      </c>
      <c r="M41" s="29">
        <v>49000</v>
      </c>
      <c r="N41" s="29">
        <v>16000</v>
      </c>
      <c r="O41" s="29">
        <v>7000</v>
      </c>
      <c r="P41" s="29" t="str">
        <f>IF('Employee data'!$M41&gt;=50000,"10%","5%")</f>
        <v>5%</v>
      </c>
      <c r="Q41" s="29">
        <f t="shared" si="0"/>
        <v>2450</v>
      </c>
      <c r="R41" s="29">
        <f>IF(AND('Employee data'!$K41&gt;=4,'Employee data'!$L41&gt;=95),5000,0)</f>
        <v>5000</v>
      </c>
      <c r="S41" s="29">
        <f t="shared" si="1"/>
        <v>79450</v>
      </c>
      <c r="T41" s="29">
        <v>12</v>
      </c>
      <c r="U41" s="32">
        <f>'Employee data'!$M41/'Employee data'!$T41</f>
        <v>4083.3333333333335</v>
      </c>
      <c r="V41" s="29">
        <v>1500</v>
      </c>
      <c r="W41" s="31">
        <f>IF('Employee data'!$S41&gt;=80000,20%,IF('Employee data'!$S41&gt;=50000,10%,5%))</f>
        <v>0.1</v>
      </c>
      <c r="X41" s="31">
        <f t="shared" si="2"/>
        <v>7945</v>
      </c>
      <c r="Y41" s="29" t="str">
        <f ca="1">IF(OR('Employee data'!$J41&gt;5,'Employee data'!$L41&gt;98),"Eligible","Not Eligible")</f>
        <v>Eligible</v>
      </c>
      <c r="Z41" s="31">
        <f t="shared" si="3"/>
        <v>65921.666666666672</v>
      </c>
    </row>
    <row r="42" spans="1:26" x14ac:dyDescent="0.3">
      <c r="A42" s="33" t="s">
        <v>137</v>
      </c>
      <c r="B42" s="33" t="s">
        <v>138</v>
      </c>
      <c r="C42" s="33" t="s">
        <v>231</v>
      </c>
      <c r="D42" s="33" t="s">
        <v>31</v>
      </c>
      <c r="E42" s="33" t="s">
        <v>22</v>
      </c>
      <c r="F42" s="34">
        <v>35700</v>
      </c>
      <c r="G42" s="34">
        <v>45061</v>
      </c>
      <c r="H42" s="33" t="str">
        <f>VLOOKUP(TRIM('Employee data'!$C42),$A$108:$B$113,2,FALSE)</f>
        <v>Sales</v>
      </c>
      <c r="I42" s="33" t="s">
        <v>275</v>
      </c>
      <c r="J42" s="35">
        <f ca="1">ROUND(YEARFRAC('Employee data'!$G42,TODAY()),2)</f>
        <v>3.23</v>
      </c>
      <c r="K42" s="33">
        <v>3.5</v>
      </c>
      <c r="L42" s="33">
        <v>90</v>
      </c>
      <c r="M42" s="33">
        <v>31500</v>
      </c>
      <c r="N42" s="33">
        <v>10300</v>
      </c>
      <c r="O42" s="33">
        <v>3900</v>
      </c>
      <c r="P42" s="33" t="str">
        <f>IF('Employee data'!$M42&gt;=50000,"10%","5%")</f>
        <v>5%</v>
      </c>
      <c r="Q42" s="33">
        <f t="shared" si="0"/>
        <v>1575</v>
      </c>
      <c r="R42" s="33">
        <f>IF(AND('Employee data'!$K42&gt;=4,'Employee data'!$L42&gt;=95),5000,0)</f>
        <v>0</v>
      </c>
      <c r="S42" s="33">
        <f t="shared" si="1"/>
        <v>47275</v>
      </c>
      <c r="T42" s="33">
        <v>12</v>
      </c>
      <c r="U42" s="36">
        <f>'Employee data'!$M42/'Employee data'!$T42</f>
        <v>2625</v>
      </c>
      <c r="V42" s="33">
        <v>850</v>
      </c>
      <c r="W42" s="35">
        <f>IF('Employee data'!$S42&gt;=80000,20%,IF('Employee data'!$S42&gt;=50000,10%,5%))</f>
        <v>0.05</v>
      </c>
      <c r="X42" s="35">
        <f t="shared" si="2"/>
        <v>2363.75</v>
      </c>
      <c r="Y42" s="33" t="str">
        <f ca="1">IF(OR('Employee data'!$J42&gt;5,'Employee data'!$L42&gt;98),"Eligible","Not Eligible")</f>
        <v>Not Eligible</v>
      </c>
      <c r="Z42" s="35">
        <f t="shared" si="3"/>
        <v>41436.25</v>
      </c>
    </row>
    <row r="43" spans="1:26" x14ac:dyDescent="0.3">
      <c r="A43" s="29" t="s">
        <v>139</v>
      </c>
      <c r="B43" s="29" t="s">
        <v>140</v>
      </c>
      <c r="C43" s="29" t="s">
        <v>232</v>
      </c>
      <c r="D43" s="29" t="s">
        <v>141</v>
      </c>
      <c r="E43" s="29" t="s">
        <v>16</v>
      </c>
      <c r="F43" s="30">
        <v>34717</v>
      </c>
      <c r="G43" s="30">
        <v>44263</v>
      </c>
      <c r="H43" s="29" t="str">
        <f>VLOOKUP(TRIM('Employee data'!$C43),$A$108:$B$113,2,FALSE)</f>
        <v>Operations</v>
      </c>
      <c r="I43" s="29" t="s">
        <v>276</v>
      </c>
      <c r="J43" s="31">
        <f ca="1">ROUND(YEARFRAC('Employee data'!$G43,TODAY()),2)</f>
        <v>5.41</v>
      </c>
      <c r="K43" s="29">
        <v>4.0999999999999996</v>
      </c>
      <c r="L43" s="29">
        <v>94</v>
      </c>
      <c r="M43" s="29">
        <v>40000</v>
      </c>
      <c r="N43" s="29">
        <v>13500</v>
      </c>
      <c r="O43" s="29">
        <v>5500</v>
      </c>
      <c r="P43" s="29" t="str">
        <f>IF('Employee data'!$M43&gt;=50000,"10%","5%")</f>
        <v>5%</v>
      </c>
      <c r="Q43" s="29">
        <f t="shared" si="0"/>
        <v>2000</v>
      </c>
      <c r="R43" s="29">
        <f>IF(AND('Employee data'!$K43&gt;=4,'Employee data'!$L43&gt;=95),5000,0)</f>
        <v>0</v>
      </c>
      <c r="S43" s="29">
        <f t="shared" si="1"/>
        <v>61000</v>
      </c>
      <c r="T43" s="29">
        <v>12</v>
      </c>
      <c r="U43" s="32">
        <f>'Employee data'!$M43/'Employee data'!$T43</f>
        <v>3333.3333333333335</v>
      </c>
      <c r="V43" s="29">
        <v>1100</v>
      </c>
      <c r="W43" s="31">
        <f>IF('Employee data'!$S43&gt;=80000,20%,IF('Employee data'!$S43&gt;=50000,10%,5%))</f>
        <v>0.1</v>
      </c>
      <c r="X43" s="31">
        <f t="shared" si="2"/>
        <v>6100</v>
      </c>
      <c r="Y43" s="29" t="str">
        <f ca="1">IF(OR('Employee data'!$J43&gt;5,'Employee data'!$L43&gt;98),"Eligible","Not Eligible")</f>
        <v>Eligible</v>
      </c>
      <c r="Z43" s="31">
        <f t="shared" si="3"/>
        <v>50466.666666666664</v>
      </c>
    </row>
    <row r="44" spans="1:26" x14ac:dyDescent="0.3">
      <c r="A44" s="33" t="s">
        <v>142</v>
      </c>
      <c r="B44" s="33" t="s">
        <v>143</v>
      </c>
      <c r="C44" s="33" t="s">
        <v>233</v>
      </c>
      <c r="D44" s="33" t="s">
        <v>144</v>
      </c>
      <c r="E44" s="33" t="s">
        <v>22</v>
      </c>
      <c r="F44" s="34">
        <v>35969</v>
      </c>
      <c r="G44" s="34">
        <v>44851</v>
      </c>
      <c r="H44" s="33" t="str">
        <f>VLOOKUP(TRIM('Employee data'!$C44),$A$108:$B$113,2,FALSE)</f>
        <v>Support</v>
      </c>
      <c r="I44" s="33" t="s">
        <v>277</v>
      </c>
      <c r="J44" s="35">
        <f ca="1">ROUND(YEARFRAC('Employee data'!$G44,TODAY()),2)</f>
        <v>3.8</v>
      </c>
      <c r="K44" s="33">
        <v>3.6</v>
      </c>
      <c r="L44" s="33">
        <v>91</v>
      </c>
      <c r="M44" s="33">
        <v>32500</v>
      </c>
      <c r="N44" s="33">
        <v>11000</v>
      </c>
      <c r="O44" s="33">
        <v>4300</v>
      </c>
      <c r="P44" s="33" t="str">
        <f>IF('Employee data'!$M44&gt;=50000,"10%","5%")</f>
        <v>5%</v>
      </c>
      <c r="Q44" s="33">
        <f t="shared" si="0"/>
        <v>1625</v>
      </c>
      <c r="R44" s="33">
        <f>IF(AND('Employee data'!$K44&gt;=4,'Employee data'!$L44&gt;=95),5000,0)</f>
        <v>0</v>
      </c>
      <c r="S44" s="33">
        <f t="shared" si="1"/>
        <v>49425</v>
      </c>
      <c r="T44" s="33">
        <v>12</v>
      </c>
      <c r="U44" s="36">
        <f>'Employee data'!$M44/'Employee data'!$T44</f>
        <v>2708.3333333333335</v>
      </c>
      <c r="V44" s="33">
        <v>800</v>
      </c>
      <c r="W44" s="35">
        <f>IF('Employee data'!$S44&gt;=80000,20%,IF('Employee data'!$S44&gt;=50000,10%,5%))</f>
        <v>0.05</v>
      </c>
      <c r="X44" s="35">
        <f t="shared" si="2"/>
        <v>2471.25</v>
      </c>
      <c r="Y44" s="33" t="str">
        <f ca="1">IF(OR('Employee data'!$J44&gt;5,'Employee data'!$L44&gt;98),"Eligible","Not Eligible")</f>
        <v>Not Eligible</v>
      </c>
      <c r="Z44" s="35">
        <f t="shared" si="3"/>
        <v>43445.416666666664</v>
      </c>
    </row>
    <row r="45" spans="1:26" x14ac:dyDescent="0.3">
      <c r="A45" s="29" t="s">
        <v>145</v>
      </c>
      <c r="B45" s="29" t="s">
        <v>146</v>
      </c>
      <c r="C45" s="29" t="s">
        <v>228</v>
      </c>
      <c r="D45" s="29" t="s">
        <v>147</v>
      </c>
      <c r="E45" s="29" t="s">
        <v>16</v>
      </c>
      <c r="F45" s="30">
        <v>33571</v>
      </c>
      <c r="G45" s="30">
        <v>42835</v>
      </c>
      <c r="H45" s="29" t="str">
        <f>VLOOKUP(TRIM('Employee data'!$C45),$A$108:$B$113,2,FALSE)</f>
        <v>IT</v>
      </c>
      <c r="I45" s="29" t="s">
        <v>278</v>
      </c>
      <c r="J45" s="31">
        <f ca="1">ROUND(YEARFRAC('Employee data'!$G45,TODAY()),2)</f>
        <v>9.32</v>
      </c>
      <c r="K45" s="29">
        <v>4.8</v>
      </c>
      <c r="L45" s="29">
        <v>99</v>
      </c>
      <c r="M45" s="29">
        <v>58000</v>
      </c>
      <c r="N45" s="29">
        <v>20000</v>
      </c>
      <c r="O45" s="29">
        <v>9500</v>
      </c>
      <c r="P45" s="29" t="str">
        <f>IF('Employee data'!$M45&gt;=50000,"10%","5%")</f>
        <v>10%</v>
      </c>
      <c r="Q45" s="29">
        <f t="shared" si="0"/>
        <v>5800</v>
      </c>
      <c r="R45" s="29">
        <f>IF(AND('Employee data'!$K45&gt;=4,'Employee data'!$L45&gt;=95),5000,0)</f>
        <v>5000</v>
      </c>
      <c r="S45" s="29">
        <f t="shared" si="1"/>
        <v>98300</v>
      </c>
      <c r="T45" s="29">
        <v>12</v>
      </c>
      <c r="U45" s="32">
        <f>'Employee data'!$M45/'Employee data'!$T45</f>
        <v>4833.333333333333</v>
      </c>
      <c r="V45" s="29">
        <v>2200</v>
      </c>
      <c r="W45" s="31">
        <f>IF('Employee data'!$S45&gt;=80000,20%,IF('Employee data'!$S45&gt;=50000,10%,5%))</f>
        <v>0.2</v>
      </c>
      <c r="X45" s="31">
        <f t="shared" si="2"/>
        <v>19660</v>
      </c>
      <c r="Y45" s="29" t="str">
        <f ca="1">IF(OR('Employee data'!$J45&gt;5,'Employee data'!$L45&gt;98),"Eligible","Not Eligible")</f>
        <v>Eligible</v>
      </c>
      <c r="Z45" s="31">
        <f t="shared" si="3"/>
        <v>71606.666666666672</v>
      </c>
    </row>
    <row r="46" spans="1:26" x14ac:dyDescent="0.3">
      <c r="A46" s="33" t="s">
        <v>148</v>
      </c>
      <c r="B46" s="33" t="s">
        <v>149</v>
      </c>
      <c r="C46" s="33" t="s">
        <v>229</v>
      </c>
      <c r="D46" s="33" t="s">
        <v>150</v>
      </c>
      <c r="E46" s="33" t="s">
        <v>22</v>
      </c>
      <c r="F46" s="34">
        <v>34400</v>
      </c>
      <c r="G46" s="34">
        <v>44011</v>
      </c>
      <c r="H46" s="33" t="str">
        <f>VLOOKUP(TRIM('Employee data'!$C46),$A$108:$B$113,2,FALSE)</f>
        <v>HR</v>
      </c>
      <c r="I46" s="33" t="s">
        <v>279</v>
      </c>
      <c r="J46" s="35">
        <f ca="1">ROUND(YEARFRAC('Employee data'!$G46,TODAY()),2)</f>
        <v>6.1</v>
      </c>
      <c r="K46" s="33">
        <v>3.7</v>
      </c>
      <c r="L46" s="33">
        <v>92</v>
      </c>
      <c r="M46" s="33">
        <v>43000</v>
      </c>
      <c r="N46" s="33">
        <v>15000</v>
      </c>
      <c r="O46" s="33">
        <v>6500</v>
      </c>
      <c r="P46" s="33" t="str">
        <f>IF('Employee data'!$M46&gt;=50000,"10%","5%")</f>
        <v>5%</v>
      </c>
      <c r="Q46" s="33">
        <f t="shared" si="0"/>
        <v>2150</v>
      </c>
      <c r="R46" s="33">
        <f>IF(AND('Employee data'!$K46&gt;=4,'Employee data'!$L46&gt;=95),5000,0)</f>
        <v>0</v>
      </c>
      <c r="S46" s="33">
        <f t="shared" si="1"/>
        <v>66650</v>
      </c>
      <c r="T46" s="33">
        <v>12</v>
      </c>
      <c r="U46" s="36">
        <f>'Employee data'!$M46/'Employee data'!$T46</f>
        <v>3583.3333333333335</v>
      </c>
      <c r="V46" s="33">
        <v>1200</v>
      </c>
      <c r="W46" s="35">
        <f>IF('Employee data'!$S46&gt;=80000,20%,IF('Employee data'!$S46&gt;=50000,10%,5%))</f>
        <v>0.1</v>
      </c>
      <c r="X46" s="35">
        <f t="shared" si="2"/>
        <v>6665</v>
      </c>
      <c r="Y46" s="33" t="str">
        <f ca="1">IF(OR('Employee data'!$J46&gt;5,'Employee data'!$L46&gt;98),"Eligible","Not Eligible")</f>
        <v>Eligible</v>
      </c>
      <c r="Z46" s="35">
        <f t="shared" si="3"/>
        <v>55201.666666666664</v>
      </c>
    </row>
    <row r="47" spans="1:26" x14ac:dyDescent="0.3">
      <c r="A47" s="29" t="s">
        <v>151</v>
      </c>
      <c r="B47" s="29" t="s">
        <v>152</v>
      </c>
      <c r="C47" s="29" t="s">
        <v>230</v>
      </c>
      <c r="D47" s="29" t="s">
        <v>49</v>
      </c>
      <c r="E47" s="29" t="s">
        <v>16</v>
      </c>
      <c r="F47" s="30">
        <v>32640</v>
      </c>
      <c r="G47" s="30">
        <v>42359</v>
      </c>
      <c r="H47" s="29" t="str">
        <f>VLOOKUP(TRIM('Employee data'!$C47),$A$108:$B$113,2,FALSE)</f>
        <v>Finance</v>
      </c>
      <c r="I47" s="29" t="s">
        <v>280</v>
      </c>
      <c r="J47" s="31">
        <f ca="1">ROUND(YEARFRAC('Employee data'!$G47,TODAY()),2)</f>
        <v>10.63</v>
      </c>
      <c r="K47" s="29">
        <v>4.4000000000000004</v>
      </c>
      <c r="L47" s="29">
        <v>96</v>
      </c>
      <c r="M47" s="29">
        <v>67000</v>
      </c>
      <c r="N47" s="29">
        <v>22500</v>
      </c>
      <c r="O47" s="29">
        <v>11000</v>
      </c>
      <c r="P47" s="29" t="str">
        <f>IF('Employee data'!$M47&gt;=50000,"10%","5%")</f>
        <v>10%</v>
      </c>
      <c r="Q47" s="29">
        <f t="shared" si="0"/>
        <v>6700</v>
      </c>
      <c r="R47" s="29">
        <f>IF(AND('Employee data'!$K47&gt;=4,'Employee data'!$L47&gt;=95),5000,0)</f>
        <v>5000</v>
      </c>
      <c r="S47" s="29">
        <f t="shared" si="1"/>
        <v>112200</v>
      </c>
      <c r="T47" s="29">
        <v>12</v>
      </c>
      <c r="U47" s="32">
        <f>'Employee data'!$M47/'Employee data'!$T47</f>
        <v>5583.333333333333</v>
      </c>
      <c r="V47" s="29">
        <v>2900</v>
      </c>
      <c r="W47" s="31">
        <f>IF('Employee data'!$S47&gt;=80000,20%,IF('Employee data'!$S47&gt;=50000,10%,5%))</f>
        <v>0.2</v>
      </c>
      <c r="X47" s="31">
        <f t="shared" si="2"/>
        <v>22440</v>
      </c>
      <c r="Y47" s="29" t="str">
        <f ca="1">IF(OR('Employee data'!$J47&gt;5,'Employee data'!$L47&gt;98),"Eligible","Not Eligible")</f>
        <v>Eligible</v>
      </c>
      <c r="Z47" s="31">
        <f t="shared" si="3"/>
        <v>81276.666666666672</v>
      </c>
    </row>
    <row r="48" spans="1:26" x14ac:dyDescent="0.3">
      <c r="A48" s="33" t="s">
        <v>153</v>
      </c>
      <c r="B48" s="33" t="s">
        <v>154</v>
      </c>
      <c r="C48" s="33" t="s">
        <v>231</v>
      </c>
      <c r="D48" s="33" t="s">
        <v>155</v>
      </c>
      <c r="E48" s="33" t="s">
        <v>22</v>
      </c>
      <c r="F48" s="34">
        <v>34311</v>
      </c>
      <c r="G48" s="34">
        <v>43724</v>
      </c>
      <c r="H48" s="33" t="str">
        <f>VLOOKUP(TRIM('Employee data'!$C48),$A$108:$B$113,2,FALSE)</f>
        <v>Sales</v>
      </c>
      <c r="I48" s="33" t="s">
        <v>281</v>
      </c>
      <c r="J48" s="35">
        <f ca="1">ROUND(YEARFRAC('Employee data'!$G48,TODAY()),2)</f>
        <v>6.89</v>
      </c>
      <c r="K48" s="33">
        <v>3.3</v>
      </c>
      <c r="L48" s="33">
        <v>89</v>
      </c>
      <c r="M48" s="33">
        <v>56000</v>
      </c>
      <c r="N48" s="33">
        <v>18500</v>
      </c>
      <c r="O48" s="33">
        <v>8500</v>
      </c>
      <c r="P48" s="33" t="str">
        <f>IF('Employee data'!$M48&gt;=50000,"10%","5%")</f>
        <v>10%</v>
      </c>
      <c r="Q48" s="33">
        <f t="shared" si="0"/>
        <v>5600</v>
      </c>
      <c r="R48" s="33">
        <f>IF(AND('Employee data'!$K48&gt;=4,'Employee data'!$L48&gt;=95),5000,0)</f>
        <v>0</v>
      </c>
      <c r="S48" s="33">
        <f t="shared" si="1"/>
        <v>88600</v>
      </c>
      <c r="T48" s="33">
        <v>12</v>
      </c>
      <c r="U48" s="36">
        <f>'Employee data'!$M48/'Employee data'!$T48</f>
        <v>4666.666666666667</v>
      </c>
      <c r="V48" s="33">
        <v>1800</v>
      </c>
      <c r="W48" s="35">
        <f>IF('Employee data'!$S48&gt;=80000,20%,IF('Employee data'!$S48&gt;=50000,10%,5%))</f>
        <v>0.2</v>
      </c>
      <c r="X48" s="35">
        <f t="shared" si="2"/>
        <v>17720</v>
      </c>
      <c r="Y48" s="33" t="str">
        <f ca="1">IF(OR('Employee data'!$J48&gt;5,'Employee data'!$L48&gt;98),"Eligible","Not Eligible")</f>
        <v>Eligible</v>
      </c>
      <c r="Z48" s="35">
        <f t="shared" si="3"/>
        <v>64413.333333333328</v>
      </c>
    </row>
    <row r="49" spans="1:26" x14ac:dyDescent="0.3">
      <c r="A49" s="29" t="s">
        <v>156</v>
      </c>
      <c r="B49" s="29" t="s">
        <v>157</v>
      </c>
      <c r="C49" s="29" t="s">
        <v>232</v>
      </c>
      <c r="D49" s="29" t="s">
        <v>158</v>
      </c>
      <c r="E49" s="29" t="s">
        <v>16</v>
      </c>
      <c r="F49" s="30">
        <v>33648</v>
      </c>
      <c r="G49" s="30">
        <v>43129</v>
      </c>
      <c r="H49" s="29" t="str">
        <f>VLOOKUP(TRIM('Employee data'!$C49),$A$108:$B$113,2,FALSE)</f>
        <v>Operations</v>
      </c>
      <c r="I49" s="29" t="s">
        <v>282</v>
      </c>
      <c r="J49" s="31">
        <f ca="1">ROUND(YEARFRAC('Employee data'!$G49,TODAY()),2)</f>
        <v>8.52</v>
      </c>
      <c r="K49" s="29">
        <v>4</v>
      </c>
      <c r="L49" s="29">
        <v>95</v>
      </c>
      <c r="M49" s="29">
        <v>45000</v>
      </c>
      <c r="N49" s="29">
        <v>15000</v>
      </c>
      <c r="O49" s="29">
        <v>7000</v>
      </c>
      <c r="P49" s="29" t="str">
        <f>IF('Employee data'!$M49&gt;=50000,"10%","5%")</f>
        <v>5%</v>
      </c>
      <c r="Q49" s="29">
        <f t="shared" si="0"/>
        <v>2250</v>
      </c>
      <c r="R49" s="29">
        <f>IF(AND('Employee data'!$K49&gt;=4,'Employee data'!$L49&gt;=95),5000,0)</f>
        <v>5000</v>
      </c>
      <c r="S49" s="29">
        <f t="shared" si="1"/>
        <v>74250</v>
      </c>
      <c r="T49" s="29">
        <v>12</v>
      </c>
      <c r="U49" s="32">
        <f>'Employee data'!$M49/'Employee data'!$T49</f>
        <v>3750</v>
      </c>
      <c r="V49" s="29">
        <v>1300</v>
      </c>
      <c r="W49" s="31">
        <f>IF('Employee data'!$S49&gt;=80000,20%,IF('Employee data'!$S49&gt;=50000,10%,5%))</f>
        <v>0.1</v>
      </c>
      <c r="X49" s="31">
        <f t="shared" si="2"/>
        <v>7425</v>
      </c>
      <c r="Y49" s="29" t="str">
        <f ca="1">IF(OR('Employee data'!$J49&gt;5,'Employee data'!$L49&gt;98),"Eligible","Not Eligible")</f>
        <v>Eligible</v>
      </c>
      <c r="Z49" s="31">
        <f t="shared" si="3"/>
        <v>61775</v>
      </c>
    </row>
    <row r="50" spans="1:26" x14ac:dyDescent="0.3">
      <c r="A50" s="33" t="s">
        <v>159</v>
      </c>
      <c r="B50" s="33" t="s">
        <v>160</v>
      </c>
      <c r="C50" s="33" t="s">
        <v>233</v>
      </c>
      <c r="D50" s="33" t="s">
        <v>161</v>
      </c>
      <c r="E50" s="33" t="s">
        <v>22</v>
      </c>
      <c r="F50" s="34">
        <v>35276</v>
      </c>
      <c r="G50" s="34">
        <v>44543</v>
      </c>
      <c r="H50" s="33" t="str">
        <f>VLOOKUP(TRIM('Employee data'!$C50),$A$108:$B$113,2,FALSE)</f>
        <v>Support</v>
      </c>
      <c r="I50" s="33" t="s">
        <v>283</v>
      </c>
      <c r="J50" s="35">
        <f ca="1">ROUND(YEARFRAC('Employee data'!$G50,TODAY()),2)</f>
        <v>4.6500000000000004</v>
      </c>
      <c r="K50" s="33">
        <v>3.8</v>
      </c>
      <c r="L50" s="33">
        <v>93</v>
      </c>
      <c r="M50" s="33">
        <v>35500</v>
      </c>
      <c r="N50" s="33">
        <v>12100</v>
      </c>
      <c r="O50" s="33">
        <v>5000</v>
      </c>
      <c r="P50" s="33" t="str">
        <f>IF('Employee data'!$M50&gt;=50000,"10%","5%")</f>
        <v>5%</v>
      </c>
      <c r="Q50" s="33">
        <f t="shared" si="0"/>
        <v>1775</v>
      </c>
      <c r="R50" s="33">
        <f>IF(AND('Employee data'!$K50&gt;=4,'Employee data'!$L50&gt;=95),5000,0)</f>
        <v>0</v>
      </c>
      <c r="S50" s="33">
        <f t="shared" si="1"/>
        <v>54375</v>
      </c>
      <c r="T50" s="33">
        <v>12</v>
      </c>
      <c r="U50" s="36">
        <f>'Employee data'!$M50/'Employee data'!$T50</f>
        <v>2958.3333333333335</v>
      </c>
      <c r="V50" s="33">
        <v>900</v>
      </c>
      <c r="W50" s="35">
        <f>IF('Employee data'!$S50&gt;=80000,20%,IF('Employee data'!$S50&gt;=50000,10%,5%))</f>
        <v>0.1</v>
      </c>
      <c r="X50" s="35">
        <f t="shared" si="2"/>
        <v>5437.5</v>
      </c>
      <c r="Y50" s="33" t="str">
        <f ca="1">IF(OR('Employee data'!$J50&gt;5,'Employee data'!$L50&gt;98),"Eligible","Not Eligible")</f>
        <v>Not Eligible</v>
      </c>
      <c r="Z50" s="35">
        <f t="shared" si="3"/>
        <v>45079.166666666664</v>
      </c>
    </row>
    <row r="51" spans="1:26" x14ac:dyDescent="0.3">
      <c r="A51" s="29" t="s">
        <v>162</v>
      </c>
      <c r="B51" s="29" t="s">
        <v>163</v>
      </c>
      <c r="C51" s="29" t="s">
        <v>228</v>
      </c>
      <c r="D51" s="29" t="s">
        <v>164</v>
      </c>
      <c r="E51" s="29" t="s">
        <v>16</v>
      </c>
      <c r="F51" s="30">
        <v>33120</v>
      </c>
      <c r="G51" s="30">
        <v>42648</v>
      </c>
      <c r="H51" s="29" t="str">
        <f>VLOOKUP(TRIM('Employee data'!$C51),$A$108:$B$113,2,FALSE)</f>
        <v>IT</v>
      </c>
      <c r="I51" s="29" t="s">
        <v>284</v>
      </c>
      <c r="J51" s="31">
        <f ca="1">ROUND(YEARFRAC('Employee data'!$G51,TODAY()),2)</f>
        <v>9.84</v>
      </c>
      <c r="K51" s="29">
        <v>4.7</v>
      </c>
      <c r="L51" s="29">
        <v>98</v>
      </c>
      <c r="M51" s="29">
        <v>64000</v>
      </c>
      <c r="N51" s="29">
        <v>21500</v>
      </c>
      <c r="O51" s="29">
        <v>10000</v>
      </c>
      <c r="P51" s="29" t="str">
        <f>IF('Employee data'!$M51&gt;=50000,"10%","5%")</f>
        <v>10%</v>
      </c>
      <c r="Q51" s="29">
        <f t="shared" si="0"/>
        <v>6400</v>
      </c>
      <c r="R51" s="29">
        <f>IF(AND('Employee data'!$K51&gt;=4,'Employee data'!$L51&gt;=95),5000,0)</f>
        <v>5000</v>
      </c>
      <c r="S51" s="29">
        <f t="shared" si="1"/>
        <v>106900</v>
      </c>
      <c r="T51" s="29">
        <v>12</v>
      </c>
      <c r="U51" s="32">
        <f>'Employee data'!$M51/'Employee data'!$T51</f>
        <v>5333.333333333333</v>
      </c>
      <c r="V51" s="29">
        <v>2600</v>
      </c>
      <c r="W51" s="31">
        <f>IF('Employee data'!$S51&gt;=80000,20%,IF('Employee data'!$S51&gt;=50000,10%,5%))</f>
        <v>0.2</v>
      </c>
      <c r="X51" s="31">
        <f t="shared" si="2"/>
        <v>21380</v>
      </c>
      <c r="Y51" s="29" t="str">
        <f ca="1">IF(OR('Employee data'!$J51&gt;5,'Employee data'!$L51&gt;98),"Eligible","Not Eligible")</f>
        <v>Eligible</v>
      </c>
      <c r="Z51" s="31">
        <f t="shared" si="3"/>
        <v>77586.666666666672</v>
      </c>
    </row>
    <row r="52" spans="1:26" x14ac:dyDescent="0.3">
      <c r="A52" s="33" t="s">
        <v>165</v>
      </c>
      <c r="B52" s="33" t="s">
        <v>166</v>
      </c>
      <c r="C52" s="33" t="s">
        <v>229</v>
      </c>
      <c r="D52" s="33" t="s">
        <v>167</v>
      </c>
      <c r="E52" s="33" t="s">
        <v>22</v>
      </c>
      <c r="F52" s="34">
        <v>35487</v>
      </c>
      <c r="G52" s="34">
        <v>45040</v>
      </c>
      <c r="H52" s="33" t="str">
        <f>VLOOKUP(TRIM('Employee data'!$C52),$A$108:$B$113,2,FALSE)</f>
        <v>HR</v>
      </c>
      <c r="I52" s="33" t="s">
        <v>285</v>
      </c>
      <c r="J52" s="35">
        <f ca="1">ROUND(YEARFRAC('Employee data'!$G52,TODAY()),2)</f>
        <v>3.28</v>
      </c>
      <c r="K52" s="33">
        <v>3.6</v>
      </c>
      <c r="L52" s="33">
        <v>91</v>
      </c>
      <c r="M52" s="33">
        <v>30000</v>
      </c>
      <c r="N52" s="33">
        <v>9800</v>
      </c>
      <c r="O52" s="33">
        <v>3600</v>
      </c>
      <c r="P52" s="33" t="str">
        <f>IF('Employee data'!$M52&gt;=50000,"10%","5%")</f>
        <v>5%</v>
      </c>
      <c r="Q52" s="33">
        <f t="shared" si="0"/>
        <v>1500</v>
      </c>
      <c r="R52" s="33">
        <f>IF(AND('Employee data'!$K52&gt;=4,'Employee data'!$L52&gt;=95),5000,0)</f>
        <v>0</v>
      </c>
      <c r="S52" s="33">
        <f t="shared" si="1"/>
        <v>44900</v>
      </c>
      <c r="T52" s="33">
        <v>12</v>
      </c>
      <c r="U52" s="36">
        <f>'Employee data'!$M52/'Employee data'!$T52</f>
        <v>2500</v>
      </c>
      <c r="V52" s="33">
        <v>750</v>
      </c>
      <c r="W52" s="35">
        <f>IF('Employee data'!$S52&gt;=80000,20%,IF('Employee data'!$S52&gt;=50000,10%,5%))</f>
        <v>0.05</v>
      </c>
      <c r="X52" s="35">
        <f t="shared" si="2"/>
        <v>2245</v>
      </c>
      <c r="Y52" s="33" t="str">
        <f ca="1">IF(OR('Employee data'!$J52&gt;5,'Employee data'!$L52&gt;98),"Eligible","Not Eligible")</f>
        <v>Not Eligible</v>
      </c>
      <c r="Z52" s="35">
        <f t="shared" si="3"/>
        <v>39405</v>
      </c>
    </row>
    <row r="53" spans="1:26" x14ac:dyDescent="0.3">
      <c r="A53" s="29" t="s">
        <v>168</v>
      </c>
      <c r="B53" s="29" t="s">
        <v>13</v>
      </c>
      <c r="C53" s="29" t="s">
        <v>228</v>
      </c>
      <c r="D53" s="29" t="s">
        <v>15</v>
      </c>
      <c r="E53" s="29" t="s">
        <v>16</v>
      </c>
      <c r="F53" s="30">
        <v>34801</v>
      </c>
      <c r="G53" s="30">
        <v>44361</v>
      </c>
      <c r="H53" s="29" t="str">
        <f>VLOOKUP(TRIM('Employee data'!$C53),$A$108:$B$113,2,FALSE)</f>
        <v>IT</v>
      </c>
      <c r="I53" s="29" t="s">
        <v>286</v>
      </c>
      <c r="J53" s="31">
        <f ca="1">ROUND(YEARFRAC('Employee data'!$G53,TODAY()),2)</f>
        <v>5.14</v>
      </c>
      <c r="K53" s="29">
        <v>4.2</v>
      </c>
      <c r="L53" s="29">
        <v>96</v>
      </c>
      <c r="M53" s="29">
        <v>35000</v>
      </c>
      <c r="N53" s="29">
        <v>12000</v>
      </c>
      <c r="O53" s="29">
        <v>5000</v>
      </c>
      <c r="P53" s="29" t="str">
        <f>IF('Employee data'!$M53&gt;=50000,"10%","5%")</f>
        <v>5%</v>
      </c>
      <c r="Q53" s="29">
        <f t="shared" si="0"/>
        <v>1750</v>
      </c>
      <c r="R53" s="29">
        <f>IF(AND('Employee data'!$K53&gt;=4,'Employee data'!$L53&gt;=95),5000,0)</f>
        <v>5000</v>
      </c>
      <c r="S53" s="29">
        <f t="shared" si="1"/>
        <v>58750</v>
      </c>
      <c r="T53" s="29">
        <v>12</v>
      </c>
      <c r="U53" s="32">
        <f>'Employee data'!$M53/'Employee data'!$T53</f>
        <v>2916.6666666666665</v>
      </c>
      <c r="V53" s="29">
        <v>1000</v>
      </c>
      <c r="W53" s="31">
        <f>IF('Employee data'!$S53&gt;=80000,20%,IF('Employee data'!$S53&gt;=50000,10%,5%))</f>
        <v>0.1</v>
      </c>
      <c r="X53" s="31">
        <f t="shared" si="2"/>
        <v>5875</v>
      </c>
      <c r="Y53" s="29" t="str">
        <f ca="1">IF(OR('Employee data'!$J53&gt;5,'Employee data'!$L53&gt;98),"Eligible","Not Eligible")</f>
        <v>Eligible</v>
      </c>
      <c r="Z53" s="31">
        <f t="shared" si="3"/>
        <v>48958.333333333336</v>
      </c>
    </row>
    <row r="54" spans="1:26" x14ac:dyDescent="0.3">
      <c r="A54" s="33" t="s">
        <v>169</v>
      </c>
      <c r="B54" s="33" t="s">
        <v>19</v>
      </c>
      <c r="C54" s="33" t="s">
        <v>229</v>
      </c>
      <c r="D54" s="33" t="s">
        <v>21</v>
      </c>
      <c r="E54" s="33" t="s">
        <v>22</v>
      </c>
      <c r="F54" s="34">
        <v>34595</v>
      </c>
      <c r="G54" s="34">
        <v>43912</v>
      </c>
      <c r="H54" s="33" t="str">
        <f>VLOOKUP(TRIM('Employee data'!$C54),$A$108:$B$113,2,FALSE)</f>
        <v>HR</v>
      </c>
      <c r="I54" s="33" t="s">
        <v>287</v>
      </c>
      <c r="J54" s="35">
        <f ca="1">ROUND(YEARFRAC('Employee data'!$G54,TODAY()),2)</f>
        <v>6.37</v>
      </c>
      <c r="K54" s="33">
        <v>3.9</v>
      </c>
      <c r="L54" s="33">
        <v>94</v>
      </c>
      <c r="M54" s="33">
        <v>42000</v>
      </c>
      <c r="N54" s="33">
        <v>15000</v>
      </c>
      <c r="O54" s="33">
        <v>6000</v>
      </c>
      <c r="P54" s="33" t="str">
        <f>IF('Employee data'!$M54&gt;=50000,"10%","5%")</f>
        <v>5%</v>
      </c>
      <c r="Q54" s="33">
        <f t="shared" si="0"/>
        <v>2100</v>
      </c>
      <c r="R54" s="33">
        <f>IF(AND('Employee data'!$K54&gt;=4,'Employee data'!$L54&gt;=95),5000,0)</f>
        <v>0</v>
      </c>
      <c r="S54" s="33">
        <f t="shared" si="1"/>
        <v>65100</v>
      </c>
      <c r="T54" s="33">
        <v>12</v>
      </c>
      <c r="U54" s="36">
        <f>'Employee data'!$M54/'Employee data'!$T54</f>
        <v>3500</v>
      </c>
      <c r="V54" s="33">
        <v>1200</v>
      </c>
      <c r="W54" s="35">
        <f>IF('Employee data'!$S54&gt;=80000,20%,IF('Employee data'!$S54&gt;=50000,10%,5%))</f>
        <v>0.1</v>
      </c>
      <c r="X54" s="35">
        <f t="shared" si="2"/>
        <v>6510</v>
      </c>
      <c r="Y54" s="33" t="str">
        <f ca="1">IF(OR('Employee data'!$J54&gt;5,'Employee data'!$L54&gt;98),"Eligible","Not Eligible")</f>
        <v>Eligible</v>
      </c>
      <c r="Z54" s="35">
        <f t="shared" si="3"/>
        <v>53890</v>
      </c>
    </row>
    <row r="55" spans="1:26" x14ac:dyDescent="0.3">
      <c r="A55" s="29" t="s">
        <v>170</v>
      </c>
      <c r="B55" s="29" t="s">
        <v>25</v>
      </c>
      <c r="C55" s="29" t="s">
        <v>230</v>
      </c>
      <c r="D55" s="29" t="s">
        <v>27</v>
      </c>
      <c r="E55" s="29" t="s">
        <v>16</v>
      </c>
      <c r="F55" s="30">
        <v>33788</v>
      </c>
      <c r="G55" s="30">
        <v>43779</v>
      </c>
      <c r="H55" s="29" t="str">
        <f>VLOOKUP(TRIM('Employee data'!$C55),$A$108:$B$113,2,FALSE)</f>
        <v>Finance</v>
      </c>
      <c r="I55" s="29" t="s">
        <v>288</v>
      </c>
      <c r="J55" s="31">
        <f ca="1">ROUND(YEARFRAC('Employee data'!$G55,TODAY()),2)</f>
        <v>6.74</v>
      </c>
      <c r="K55" s="29">
        <v>4.5</v>
      </c>
      <c r="L55" s="29">
        <v>97</v>
      </c>
      <c r="M55" s="29">
        <v>48000</v>
      </c>
      <c r="N55" s="29">
        <v>16000</v>
      </c>
      <c r="O55" s="29">
        <v>7000</v>
      </c>
      <c r="P55" s="29" t="str">
        <f>IF('Employee data'!$M55&gt;=50000,"10%","5%")</f>
        <v>5%</v>
      </c>
      <c r="Q55" s="29">
        <f t="shared" si="0"/>
        <v>2400</v>
      </c>
      <c r="R55" s="29">
        <f>IF(AND('Employee data'!$K55&gt;=4,'Employee data'!$L55&gt;=95),5000,0)</f>
        <v>5000</v>
      </c>
      <c r="S55" s="29">
        <f t="shared" si="1"/>
        <v>78400</v>
      </c>
      <c r="T55" s="29">
        <v>12</v>
      </c>
      <c r="U55" s="32">
        <f>'Employee data'!$M55/'Employee data'!$T55</f>
        <v>4000</v>
      </c>
      <c r="V55" s="29">
        <v>1500</v>
      </c>
      <c r="W55" s="31">
        <f>IF('Employee data'!$S55&gt;=80000,20%,IF('Employee data'!$S55&gt;=50000,10%,5%))</f>
        <v>0.1</v>
      </c>
      <c r="X55" s="31">
        <f t="shared" si="2"/>
        <v>7840</v>
      </c>
      <c r="Y55" s="29" t="str">
        <f ca="1">IF(OR('Employee data'!$J55&gt;5,'Employee data'!$L55&gt;98),"Eligible","Not Eligible")</f>
        <v>Eligible</v>
      </c>
      <c r="Z55" s="31">
        <f t="shared" si="3"/>
        <v>65060</v>
      </c>
    </row>
    <row r="56" spans="1:26" x14ac:dyDescent="0.3">
      <c r="A56" s="33" t="s">
        <v>171</v>
      </c>
      <c r="B56" s="33" t="s">
        <v>29</v>
      </c>
      <c r="C56" s="33" t="s">
        <v>231</v>
      </c>
      <c r="D56" s="33" t="s">
        <v>31</v>
      </c>
      <c r="E56" s="33" t="s">
        <v>22</v>
      </c>
      <c r="F56" s="34">
        <v>35116</v>
      </c>
      <c r="G56" s="34">
        <v>44566</v>
      </c>
      <c r="H56" s="33" t="str">
        <f>VLOOKUP(TRIM('Employee data'!$C56),$A$108:$B$113,2,FALSE)</f>
        <v>Sales</v>
      </c>
      <c r="I56" s="33" t="s">
        <v>289</v>
      </c>
      <c r="J56" s="35">
        <f ca="1">ROUND(YEARFRAC('Employee data'!$G56,TODAY()),2)</f>
        <v>4.59</v>
      </c>
      <c r="K56" s="33">
        <v>3.4</v>
      </c>
      <c r="L56" s="33">
        <v>90</v>
      </c>
      <c r="M56" s="33">
        <v>30000</v>
      </c>
      <c r="N56" s="33">
        <v>10000</v>
      </c>
      <c r="O56" s="33">
        <v>4000</v>
      </c>
      <c r="P56" s="33" t="str">
        <f>IF('Employee data'!$M56&gt;=50000,"10%","5%")</f>
        <v>5%</v>
      </c>
      <c r="Q56" s="33">
        <f t="shared" si="0"/>
        <v>1500</v>
      </c>
      <c r="R56" s="33">
        <f>IF(AND('Employee data'!$K56&gt;=4,'Employee data'!$L56&gt;=95),5000,0)</f>
        <v>0</v>
      </c>
      <c r="S56" s="33">
        <f t="shared" si="1"/>
        <v>45500</v>
      </c>
      <c r="T56" s="33">
        <v>12</v>
      </c>
      <c r="U56" s="36">
        <f>'Employee data'!$M56/'Employee data'!$T56</f>
        <v>2500</v>
      </c>
      <c r="V56" s="33">
        <v>800</v>
      </c>
      <c r="W56" s="35">
        <f>IF('Employee data'!$S56&gt;=80000,20%,IF('Employee data'!$S56&gt;=50000,10%,5%))</f>
        <v>0.05</v>
      </c>
      <c r="X56" s="35">
        <f t="shared" si="2"/>
        <v>2275</v>
      </c>
      <c r="Y56" s="33" t="str">
        <f ca="1">IF(OR('Employee data'!$J56&gt;5,'Employee data'!$L56&gt;98),"Eligible","Not Eligible")</f>
        <v>Not Eligible</v>
      </c>
      <c r="Z56" s="35">
        <f t="shared" si="3"/>
        <v>39925</v>
      </c>
    </row>
    <row r="57" spans="1:26" x14ac:dyDescent="0.3">
      <c r="A57" s="29" t="s">
        <v>172</v>
      </c>
      <c r="B57" s="29" t="s">
        <v>33</v>
      </c>
      <c r="C57" s="29" t="s">
        <v>232</v>
      </c>
      <c r="D57" s="29" t="s">
        <v>35</v>
      </c>
      <c r="E57" s="29" t="s">
        <v>16</v>
      </c>
      <c r="F57" s="30">
        <v>34333</v>
      </c>
      <c r="G57" s="30">
        <v>43331</v>
      </c>
      <c r="H57" s="29" t="str">
        <f>VLOOKUP(TRIM('Employee data'!$C57),$A$108:$B$113,2,FALSE)</f>
        <v>Operations</v>
      </c>
      <c r="I57" s="29" t="s">
        <v>290</v>
      </c>
      <c r="J57" s="31">
        <f ca="1">ROUND(YEARFRAC('Employee data'!$G57,TODAY()),2)</f>
        <v>7.96</v>
      </c>
      <c r="K57" s="29">
        <v>4.0999999999999996</v>
      </c>
      <c r="L57" s="29">
        <v>95</v>
      </c>
      <c r="M57" s="29">
        <v>39000</v>
      </c>
      <c r="N57" s="29">
        <v>13000</v>
      </c>
      <c r="O57" s="29">
        <v>5500</v>
      </c>
      <c r="P57" s="29" t="str">
        <f>IF('Employee data'!$M57&gt;=50000,"10%","5%")</f>
        <v>5%</v>
      </c>
      <c r="Q57" s="29">
        <f t="shared" si="0"/>
        <v>1950</v>
      </c>
      <c r="R57" s="29">
        <f>IF(AND('Employee data'!$K57&gt;=4,'Employee data'!$L57&gt;=95),5000,0)</f>
        <v>5000</v>
      </c>
      <c r="S57" s="29">
        <f t="shared" si="1"/>
        <v>64450</v>
      </c>
      <c r="T57" s="29">
        <v>12</v>
      </c>
      <c r="U57" s="32">
        <f>'Employee data'!$M57/'Employee data'!$T57</f>
        <v>3250</v>
      </c>
      <c r="V57" s="29">
        <v>1100</v>
      </c>
      <c r="W57" s="31">
        <f>IF('Employee data'!$S57&gt;=80000,20%,IF('Employee data'!$S57&gt;=50000,10%,5%))</f>
        <v>0.1</v>
      </c>
      <c r="X57" s="31">
        <f t="shared" si="2"/>
        <v>6445</v>
      </c>
      <c r="Y57" s="29" t="str">
        <f ca="1">IF(OR('Employee data'!$J57&gt;5,'Employee data'!$L57&gt;98),"Eligible","Not Eligible")</f>
        <v>Eligible</v>
      </c>
      <c r="Z57" s="31">
        <f t="shared" si="3"/>
        <v>53655</v>
      </c>
    </row>
    <row r="58" spans="1:26" x14ac:dyDescent="0.3">
      <c r="A58" s="33" t="s">
        <v>173</v>
      </c>
      <c r="B58" s="33" t="s">
        <v>37</v>
      </c>
      <c r="C58" s="33" t="s">
        <v>233</v>
      </c>
      <c r="D58" s="33" t="s">
        <v>39</v>
      </c>
      <c r="E58" s="33" t="s">
        <v>22</v>
      </c>
      <c r="F58" s="34">
        <v>34833</v>
      </c>
      <c r="G58" s="34">
        <v>44298</v>
      </c>
      <c r="H58" s="33" t="str">
        <f>VLOOKUP(TRIM('Employee data'!$C58),$A$108:$B$113,2,FALSE)</f>
        <v>Support</v>
      </c>
      <c r="I58" s="33" t="s">
        <v>291</v>
      </c>
      <c r="J58" s="35">
        <f ca="1">ROUND(YEARFRAC('Employee data'!$G58,TODAY()),2)</f>
        <v>5.32</v>
      </c>
      <c r="K58" s="33">
        <v>3.7</v>
      </c>
      <c r="L58" s="33">
        <v>92</v>
      </c>
      <c r="M58" s="33">
        <v>36000</v>
      </c>
      <c r="N58" s="33">
        <v>12500</v>
      </c>
      <c r="O58" s="33">
        <v>5000</v>
      </c>
      <c r="P58" s="33" t="str">
        <f>IF('Employee data'!$M58&gt;=50000,"10%","5%")</f>
        <v>5%</v>
      </c>
      <c r="Q58" s="33">
        <f t="shared" si="0"/>
        <v>1800</v>
      </c>
      <c r="R58" s="33">
        <f>IF(AND('Employee data'!$K58&gt;=4,'Employee data'!$L58&gt;=95),5000,0)</f>
        <v>0</v>
      </c>
      <c r="S58" s="33">
        <f t="shared" si="1"/>
        <v>55300</v>
      </c>
      <c r="T58" s="33">
        <v>12</v>
      </c>
      <c r="U58" s="36">
        <f>'Employee data'!$M58/'Employee data'!$T58</f>
        <v>3000</v>
      </c>
      <c r="V58" s="33">
        <v>900</v>
      </c>
      <c r="W58" s="35">
        <f>IF('Employee data'!$S58&gt;=80000,20%,IF('Employee data'!$S58&gt;=50000,10%,5%))</f>
        <v>0.1</v>
      </c>
      <c r="X58" s="35">
        <f t="shared" si="2"/>
        <v>5530</v>
      </c>
      <c r="Y58" s="33" t="str">
        <f ca="1">IF(OR('Employee data'!$J58&gt;5,'Employee data'!$L58&gt;98),"Eligible","Not Eligible")</f>
        <v>Eligible</v>
      </c>
      <c r="Z58" s="35">
        <f t="shared" si="3"/>
        <v>45870</v>
      </c>
    </row>
    <row r="59" spans="1:26" x14ac:dyDescent="0.3">
      <c r="A59" s="29" t="s">
        <v>174</v>
      </c>
      <c r="B59" s="29" t="s">
        <v>41</v>
      </c>
      <c r="C59" s="29" t="s">
        <v>228</v>
      </c>
      <c r="D59" s="29" t="s">
        <v>42</v>
      </c>
      <c r="E59" s="29" t="s">
        <v>16</v>
      </c>
      <c r="F59" s="30">
        <v>33536</v>
      </c>
      <c r="G59" s="30">
        <v>42917</v>
      </c>
      <c r="H59" s="29" t="str">
        <f>VLOOKUP(TRIM('Employee data'!$C59),$A$108:$B$113,2,FALSE)</f>
        <v>IT</v>
      </c>
      <c r="I59" s="29" t="s">
        <v>292</v>
      </c>
      <c r="J59" s="31">
        <f ca="1">ROUND(YEARFRAC('Employee data'!$G59,TODAY()),2)</f>
        <v>9.1</v>
      </c>
      <c r="K59" s="29">
        <v>4.8</v>
      </c>
      <c r="L59" s="29">
        <v>99</v>
      </c>
      <c r="M59" s="29">
        <v>55000</v>
      </c>
      <c r="N59" s="29">
        <v>18000</v>
      </c>
      <c r="O59" s="29">
        <v>9000</v>
      </c>
      <c r="P59" s="29" t="str">
        <f>IF('Employee data'!$M59&gt;=50000,"10%","5%")</f>
        <v>10%</v>
      </c>
      <c r="Q59" s="29">
        <f t="shared" si="0"/>
        <v>5500</v>
      </c>
      <c r="R59" s="29">
        <f>IF(AND('Employee data'!$K59&gt;=4,'Employee data'!$L59&gt;=95),5000,0)</f>
        <v>5000</v>
      </c>
      <c r="S59" s="29">
        <f t="shared" si="1"/>
        <v>92500</v>
      </c>
      <c r="T59" s="29">
        <v>12</v>
      </c>
      <c r="U59" s="32">
        <f>'Employee data'!$M59/'Employee data'!$T59</f>
        <v>4583.333333333333</v>
      </c>
      <c r="V59" s="29">
        <v>2000</v>
      </c>
      <c r="W59" s="31">
        <f>IF('Employee data'!$S59&gt;=80000,20%,IF('Employee data'!$S59&gt;=50000,10%,5%))</f>
        <v>0.2</v>
      </c>
      <c r="X59" s="31">
        <f t="shared" si="2"/>
        <v>18500</v>
      </c>
      <c r="Y59" s="29" t="str">
        <f ca="1">IF(OR('Employee data'!$J59&gt;5,'Employee data'!$L59&gt;98),"Eligible","Not Eligible")</f>
        <v>Eligible</v>
      </c>
      <c r="Z59" s="31">
        <f t="shared" si="3"/>
        <v>67416.666666666672</v>
      </c>
    </row>
    <row r="60" spans="1:26" x14ac:dyDescent="0.3">
      <c r="A60" s="33" t="s">
        <v>175</v>
      </c>
      <c r="B60" s="33" t="s">
        <v>45</v>
      </c>
      <c r="C60" s="33" t="s">
        <v>229</v>
      </c>
      <c r="D60" s="33" t="s">
        <v>46</v>
      </c>
      <c r="E60" s="33" t="s">
        <v>22</v>
      </c>
      <c r="F60" s="34">
        <v>35439</v>
      </c>
      <c r="G60" s="34">
        <v>44970</v>
      </c>
      <c r="H60" s="33" t="str">
        <f>VLOOKUP(TRIM('Employee data'!$C60),$A$108:$B$113,2,FALSE)</f>
        <v>HR</v>
      </c>
      <c r="I60" s="33" t="s">
        <v>293</v>
      </c>
      <c r="J60" s="35">
        <f ca="1">ROUND(YEARFRAC('Employee data'!$G60,TODAY()),2)</f>
        <v>3.48</v>
      </c>
      <c r="K60" s="33">
        <v>3.8</v>
      </c>
      <c r="L60" s="33">
        <v>93</v>
      </c>
      <c r="M60" s="33">
        <v>38000</v>
      </c>
      <c r="N60" s="33">
        <v>14000</v>
      </c>
      <c r="O60" s="33">
        <v>4500</v>
      </c>
      <c r="P60" s="33" t="str">
        <f>IF('Employee data'!$M60&gt;=50000,"10%","5%")</f>
        <v>5%</v>
      </c>
      <c r="Q60" s="33">
        <f t="shared" si="0"/>
        <v>1900</v>
      </c>
      <c r="R60" s="33">
        <f>IF(AND('Employee data'!$K60&gt;=4,'Employee data'!$L60&gt;=95),5000,0)</f>
        <v>0</v>
      </c>
      <c r="S60" s="33">
        <f t="shared" si="1"/>
        <v>58400</v>
      </c>
      <c r="T60" s="33">
        <v>12</v>
      </c>
      <c r="U60" s="36">
        <f>'Employee data'!$M60/'Employee data'!$T60</f>
        <v>3166.6666666666665</v>
      </c>
      <c r="V60" s="33">
        <v>1000</v>
      </c>
      <c r="W60" s="35">
        <f>IF('Employee data'!$S60&gt;=80000,20%,IF('Employee data'!$S60&gt;=50000,10%,5%))</f>
        <v>0.1</v>
      </c>
      <c r="X60" s="35">
        <f t="shared" si="2"/>
        <v>5840</v>
      </c>
      <c r="Y60" s="33" t="str">
        <f ca="1">IF(OR('Employee data'!$J60&gt;5,'Employee data'!$L60&gt;98),"Eligible","Not Eligible")</f>
        <v>Not Eligible</v>
      </c>
      <c r="Z60" s="35">
        <f t="shared" si="3"/>
        <v>48393.333333333336</v>
      </c>
    </row>
    <row r="61" spans="1:26" x14ac:dyDescent="0.3">
      <c r="A61" s="29" t="s">
        <v>176</v>
      </c>
      <c r="B61" s="29" t="s">
        <v>48</v>
      </c>
      <c r="C61" s="29" t="s">
        <v>230</v>
      </c>
      <c r="D61" s="29" t="s">
        <v>49</v>
      </c>
      <c r="E61" s="29" t="s">
        <v>16</v>
      </c>
      <c r="F61" s="30">
        <v>33041</v>
      </c>
      <c r="G61" s="30">
        <v>42639</v>
      </c>
      <c r="H61" s="29" t="str">
        <f>VLOOKUP(TRIM('Employee data'!$C61),$A$108:$B$113,2,FALSE)</f>
        <v>Finance</v>
      </c>
      <c r="I61" s="29" t="s">
        <v>294</v>
      </c>
      <c r="J61" s="31">
        <f ca="1">ROUND(YEARFRAC('Employee data'!$G61,TODAY()),2)</f>
        <v>9.86</v>
      </c>
      <c r="K61" s="29">
        <v>4.9000000000000004</v>
      </c>
      <c r="L61" s="29">
        <v>98</v>
      </c>
      <c r="M61" s="29">
        <v>62000</v>
      </c>
      <c r="N61" s="29">
        <v>20000</v>
      </c>
      <c r="O61" s="29">
        <v>10000</v>
      </c>
      <c r="P61" s="29" t="str">
        <f>IF('Employee data'!$M61&gt;=50000,"10%","5%")</f>
        <v>10%</v>
      </c>
      <c r="Q61" s="29">
        <f t="shared" si="0"/>
        <v>6200</v>
      </c>
      <c r="R61" s="29">
        <f>IF(AND('Employee data'!$K61&gt;=4,'Employee data'!$L61&gt;=95),5000,0)</f>
        <v>5000</v>
      </c>
      <c r="S61" s="29">
        <f t="shared" si="1"/>
        <v>103200</v>
      </c>
      <c r="T61" s="29">
        <v>12</v>
      </c>
      <c r="U61" s="32">
        <f>'Employee data'!$M61/'Employee data'!$T61</f>
        <v>5166.666666666667</v>
      </c>
      <c r="V61" s="29">
        <v>2500</v>
      </c>
      <c r="W61" s="31">
        <f>IF('Employee data'!$S61&gt;=80000,20%,IF('Employee data'!$S61&gt;=50000,10%,5%))</f>
        <v>0.2</v>
      </c>
      <c r="X61" s="31">
        <f t="shared" si="2"/>
        <v>20640</v>
      </c>
      <c r="Y61" s="29" t="str">
        <f ca="1">IF(OR('Employee data'!$J61&gt;5,'Employee data'!$L61&gt;98),"Eligible","Not Eligible")</f>
        <v>Eligible</v>
      </c>
      <c r="Z61" s="31">
        <f t="shared" si="3"/>
        <v>74893.333333333328</v>
      </c>
    </row>
    <row r="62" spans="1:26" x14ac:dyDescent="0.3">
      <c r="A62" s="33" t="s">
        <v>177</v>
      </c>
      <c r="B62" s="33" t="s">
        <v>51</v>
      </c>
      <c r="C62" s="33" t="s">
        <v>231</v>
      </c>
      <c r="D62" s="33" t="s">
        <v>31</v>
      </c>
      <c r="E62" s="33" t="s">
        <v>22</v>
      </c>
      <c r="F62" s="34">
        <v>36127</v>
      </c>
      <c r="G62" s="34">
        <v>44732</v>
      </c>
      <c r="H62" s="33" t="str">
        <f>VLOOKUP(TRIM('Employee data'!$C62),$A$108:$B$113,2,FALSE)</f>
        <v>Sales</v>
      </c>
      <c r="I62" s="33" t="s">
        <v>295</v>
      </c>
      <c r="J62" s="35">
        <f ca="1">ROUND(YEARFRAC('Employee data'!$G62,TODAY()),2)</f>
        <v>4.13</v>
      </c>
      <c r="K62" s="33">
        <v>3.5</v>
      </c>
      <c r="L62" s="33">
        <v>91</v>
      </c>
      <c r="M62" s="33">
        <v>31000</v>
      </c>
      <c r="N62" s="33">
        <v>10500</v>
      </c>
      <c r="O62" s="33">
        <v>4000</v>
      </c>
      <c r="P62" s="33" t="str">
        <f>IF('Employee data'!$M62&gt;=50000,"10%","5%")</f>
        <v>5%</v>
      </c>
      <c r="Q62" s="33">
        <f t="shared" si="0"/>
        <v>1550</v>
      </c>
      <c r="R62" s="33">
        <f>IF(AND('Employee data'!$K62&gt;=4,'Employee data'!$L62&gt;=95),5000,0)</f>
        <v>0</v>
      </c>
      <c r="S62" s="33">
        <f t="shared" si="1"/>
        <v>47050</v>
      </c>
      <c r="T62" s="33">
        <v>12</v>
      </c>
      <c r="U62" s="36">
        <f>'Employee data'!$M62/'Employee data'!$T62</f>
        <v>2583.3333333333335</v>
      </c>
      <c r="V62" s="33">
        <v>850</v>
      </c>
      <c r="W62" s="35">
        <f>IF('Employee data'!$S62&gt;=80000,20%,IF('Employee data'!$S62&gt;=50000,10%,5%))</f>
        <v>0.05</v>
      </c>
      <c r="X62" s="35">
        <f t="shared" si="2"/>
        <v>2352.5</v>
      </c>
      <c r="Y62" s="33" t="str">
        <f ca="1">IF(OR('Employee data'!$J62&gt;5,'Employee data'!$L62&gt;98),"Eligible","Not Eligible")</f>
        <v>Not Eligible</v>
      </c>
      <c r="Z62" s="35">
        <f t="shared" si="3"/>
        <v>41264.166666666664</v>
      </c>
    </row>
    <row r="63" spans="1:26" x14ac:dyDescent="0.3">
      <c r="A63" s="29" t="s">
        <v>178</v>
      </c>
      <c r="B63" s="29" t="s">
        <v>53</v>
      </c>
      <c r="C63" s="29" t="s">
        <v>232</v>
      </c>
      <c r="D63" s="29" t="s">
        <v>54</v>
      </c>
      <c r="E63" s="29" t="s">
        <v>16</v>
      </c>
      <c r="F63" s="30">
        <v>33677</v>
      </c>
      <c r="G63" s="30">
        <v>43507</v>
      </c>
      <c r="H63" s="29" t="str">
        <f>VLOOKUP(TRIM('Employee data'!$C63),$A$108:$B$113,2,FALSE)</f>
        <v>Operations</v>
      </c>
      <c r="I63" s="29" t="s">
        <v>296</v>
      </c>
      <c r="J63" s="31">
        <f ca="1">ROUND(YEARFRAC('Employee data'!$G63,TODAY()),2)</f>
        <v>7.49</v>
      </c>
      <c r="K63" s="29">
        <v>4</v>
      </c>
      <c r="L63" s="29">
        <v>95</v>
      </c>
      <c r="M63" s="29">
        <v>46000</v>
      </c>
      <c r="N63" s="29">
        <v>15500</v>
      </c>
      <c r="O63" s="29">
        <v>6500</v>
      </c>
      <c r="P63" s="29" t="str">
        <f>IF('Employee data'!$M63&gt;=50000,"10%","5%")</f>
        <v>5%</v>
      </c>
      <c r="Q63" s="29">
        <f t="shared" si="0"/>
        <v>2300</v>
      </c>
      <c r="R63" s="29">
        <f>IF(AND('Employee data'!$K63&gt;=4,'Employee data'!$L63&gt;=95),5000,0)</f>
        <v>5000</v>
      </c>
      <c r="S63" s="29">
        <f t="shared" si="1"/>
        <v>75300</v>
      </c>
      <c r="T63" s="29">
        <v>12</v>
      </c>
      <c r="U63" s="32">
        <f>'Employee data'!$M63/'Employee data'!$T63</f>
        <v>3833.3333333333335</v>
      </c>
      <c r="V63" s="29">
        <v>1300</v>
      </c>
      <c r="W63" s="31">
        <f>IF('Employee data'!$S63&gt;=80000,20%,IF('Employee data'!$S63&gt;=50000,10%,5%))</f>
        <v>0.1</v>
      </c>
      <c r="X63" s="31">
        <f t="shared" si="2"/>
        <v>7530</v>
      </c>
      <c r="Y63" s="29" t="str">
        <f ca="1">IF(OR('Employee data'!$J63&gt;5,'Employee data'!$L63&gt;98),"Eligible","Not Eligible")</f>
        <v>Eligible</v>
      </c>
      <c r="Z63" s="31">
        <f t="shared" si="3"/>
        <v>62636.666666666664</v>
      </c>
    </row>
    <row r="64" spans="1:26" x14ac:dyDescent="0.3">
      <c r="A64" s="33" t="s">
        <v>179</v>
      </c>
      <c r="B64" s="33" t="s">
        <v>56</v>
      </c>
      <c r="C64" s="33" t="s">
        <v>233</v>
      </c>
      <c r="D64" s="33" t="s">
        <v>57</v>
      </c>
      <c r="E64" s="33" t="s">
        <v>22</v>
      </c>
      <c r="F64" s="34">
        <v>35296</v>
      </c>
      <c r="G64" s="34">
        <v>44445</v>
      </c>
      <c r="H64" s="33" t="str">
        <f>VLOOKUP(TRIM('Employee data'!$C64),$A$108:$B$113,2,FALSE)</f>
        <v>Support</v>
      </c>
      <c r="I64" s="33" t="s">
        <v>297</v>
      </c>
      <c r="J64" s="35">
        <f ca="1">ROUND(YEARFRAC('Employee data'!$G64,TODAY()),2)</f>
        <v>4.92</v>
      </c>
      <c r="K64" s="33">
        <v>3.6</v>
      </c>
      <c r="L64" s="33">
        <v>92</v>
      </c>
      <c r="M64" s="33">
        <v>34000</v>
      </c>
      <c r="N64" s="33">
        <v>11500</v>
      </c>
      <c r="O64" s="33">
        <v>4800</v>
      </c>
      <c r="P64" s="33" t="str">
        <f>IF('Employee data'!$M64&gt;=50000,"10%","5%")</f>
        <v>5%</v>
      </c>
      <c r="Q64" s="33">
        <f t="shared" si="0"/>
        <v>1700</v>
      </c>
      <c r="R64" s="33">
        <f>IF(AND('Employee data'!$K64&gt;=4,'Employee data'!$L64&gt;=95),5000,0)</f>
        <v>0</v>
      </c>
      <c r="S64" s="33">
        <f t="shared" si="1"/>
        <v>52000</v>
      </c>
      <c r="T64" s="33">
        <v>12</v>
      </c>
      <c r="U64" s="36">
        <f>'Employee data'!$M64/'Employee data'!$T64</f>
        <v>2833.3333333333335</v>
      </c>
      <c r="V64" s="33">
        <v>900</v>
      </c>
      <c r="W64" s="35">
        <f>IF('Employee data'!$S64&gt;=80000,20%,IF('Employee data'!$S64&gt;=50000,10%,5%))</f>
        <v>0.1</v>
      </c>
      <c r="X64" s="35">
        <f t="shared" si="2"/>
        <v>5200</v>
      </c>
      <c r="Y64" s="33" t="str">
        <f ca="1">IF(OR('Employee data'!$J64&gt;5,'Employee data'!$L64&gt;98),"Eligible","Not Eligible")</f>
        <v>Not Eligible</v>
      </c>
      <c r="Z64" s="35">
        <f t="shared" si="3"/>
        <v>43066.666666666664</v>
      </c>
    </row>
    <row r="65" spans="1:26" x14ac:dyDescent="0.3">
      <c r="A65" s="29" t="s">
        <v>180</v>
      </c>
      <c r="B65" s="29" t="s">
        <v>59</v>
      </c>
      <c r="C65" s="29" t="s">
        <v>228</v>
      </c>
      <c r="D65" s="29" t="s">
        <v>60</v>
      </c>
      <c r="E65" s="29" t="s">
        <v>16</v>
      </c>
      <c r="F65" s="30">
        <v>32853</v>
      </c>
      <c r="G65" s="30">
        <v>42121</v>
      </c>
      <c r="H65" s="29" t="str">
        <f>VLOOKUP(TRIM('Employee data'!$C65),$A$108:$B$113,2,FALSE)</f>
        <v>IT</v>
      </c>
      <c r="I65" s="29" t="s">
        <v>298</v>
      </c>
      <c r="J65" s="31">
        <f ca="1">ROUND(YEARFRAC('Employee data'!$G65,TODAY()),2)</f>
        <v>11.28</v>
      </c>
      <c r="K65" s="29">
        <v>4.7</v>
      </c>
      <c r="L65" s="29">
        <v>97</v>
      </c>
      <c r="M65" s="29">
        <v>70000</v>
      </c>
      <c r="N65" s="29">
        <v>25000</v>
      </c>
      <c r="O65" s="29">
        <v>12000</v>
      </c>
      <c r="P65" s="29" t="str">
        <f>IF('Employee data'!$M65&gt;=50000,"10%","5%")</f>
        <v>10%</v>
      </c>
      <c r="Q65" s="29">
        <f t="shared" si="0"/>
        <v>7000</v>
      </c>
      <c r="R65" s="29">
        <f>IF(AND('Employee data'!$K65&gt;=4,'Employee data'!$L65&gt;=95),5000,0)</f>
        <v>5000</v>
      </c>
      <c r="S65" s="29">
        <f t="shared" si="1"/>
        <v>119000</v>
      </c>
      <c r="T65" s="29">
        <v>12</v>
      </c>
      <c r="U65" s="32">
        <f>'Employee data'!$M65/'Employee data'!$T65</f>
        <v>5833.333333333333</v>
      </c>
      <c r="V65" s="29">
        <v>3000</v>
      </c>
      <c r="W65" s="31">
        <f>IF('Employee data'!$S65&gt;=80000,20%,IF('Employee data'!$S65&gt;=50000,10%,5%))</f>
        <v>0.2</v>
      </c>
      <c r="X65" s="31">
        <f t="shared" si="2"/>
        <v>23800</v>
      </c>
      <c r="Y65" s="29" t="str">
        <f ca="1">IF(OR('Employee data'!$J65&gt;5,'Employee data'!$L65&gt;98),"Eligible","Not Eligible")</f>
        <v>Eligible</v>
      </c>
      <c r="Z65" s="31">
        <f t="shared" si="3"/>
        <v>86366.666666666672</v>
      </c>
    </row>
    <row r="66" spans="1:26" x14ac:dyDescent="0.3">
      <c r="A66" s="33" t="s">
        <v>181</v>
      </c>
      <c r="B66" s="33" t="s">
        <v>62</v>
      </c>
      <c r="C66" s="33" t="s">
        <v>229</v>
      </c>
      <c r="D66" s="33" t="s">
        <v>63</v>
      </c>
      <c r="E66" s="33" t="s">
        <v>22</v>
      </c>
      <c r="F66" s="34">
        <v>34429</v>
      </c>
      <c r="G66" s="34">
        <v>44119</v>
      </c>
      <c r="H66" s="33" t="str">
        <f>VLOOKUP(TRIM('Employee data'!$C66),$A$108:$B$113,2,FALSE)</f>
        <v>HR</v>
      </c>
      <c r="I66" s="33" t="s">
        <v>299</v>
      </c>
      <c r="J66" s="35">
        <f ca="1">ROUND(YEARFRAC('Employee data'!$G66,TODAY()),2)</f>
        <v>5.81</v>
      </c>
      <c r="K66" s="33">
        <v>3.9</v>
      </c>
      <c r="L66" s="33">
        <v>94</v>
      </c>
      <c r="M66" s="33">
        <v>40000</v>
      </c>
      <c r="N66" s="33">
        <v>14000</v>
      </c>
      <c r="O66" s="33">
        <v>5500</v>
      </c>
      <c r="P66" s="33" t="str">
        <f>IF('Employee data'!$M66&gt;=50000,"10%","5%")</f>
        <v>5%</v>
      </c>
      <c r="Q66" s="33">
        <f t="shared" si="0"/>
        <v>2000</v>
      </c>
      <c r="R66" s="33">
        <f>IF(AND('Employee data'!$K66&gt;=4,'Employee data'!$L66&gt;=95),5000,0)</f>
        <v>0</v>
      </c>
      <c r="S66" s="33">
        <f t="shared" si="1"/>
        <v>61500</v>
      </c>
      <c r="T66" s="33">
        <v>12</v>
      </c>
      <c r="U66" s="36">
        <f>'Employee data'!$M66/'Employee data'!$T66</f>
        <v>3333.3333333333335</v>
      </c>
      <c r="V66" s="33">
        <v>1100</v>
      </c>
      <c r="W66" s="35">
        <f>IF('Employee data'!$S66&gt;=80000,20%,IF('Employee data'!$S66&gt;=50000,10%,5%))</f>
        <v>0.1</v>
      </c>
      <c r="X66" s="35">
        <f t="shared" si="2"/>
        <v>6150</v>
      </c>
      <c r="Y66" s="33" t="str">
        <f ca="1">IF(OR('Employee data'!$J66&gt;5,'Employee data'!$L66&gt;98),"Eligible","Not Eligible")</f>
        <v>Eligible</v>
      </c>
      <c r="Z66" s="35">
        <f t="shared" si="3"/>
        <v>50916.666666666664</v>
      </c>
    </row>
    <row r="67" spans="1:26" x14ac:dyDescent="0.3">
      <c r="A67" s="29" t="s">
        <v>182</v>
      </c>
      <c r="B67" s="29" t="s">
        <v>65</v>
      </c>
      <c r="C67" s="29" t="s">
        <v>230</v>
      </c>
      <c r="D67" s="29" t="s">
        <v>66</v>
      </c>
      <c r="E67" s="29" t="s">
        <v>16</v>
      </c>
      <c r="F67" s="30">
        <v>34234</v>
      </c>
      <c r="G67" s="30">
        <v>43437</v>
      </c>
      <c r="H67" s="29" t="str">
        <f>VLOOKUP(TRIM('Employee data'!$C67),$A$108:$B$113,2,FALSE)</f>
        <v>Finance</v>
      </c>
      <c r="I67" s="29" t="s">
        <v>300</v>
      </c>
      <c r="J67" s="31">
        <f ca="1">ROUND(YEARFRAC('Employee data'!$G67,TODAY()),2)</f>
        <v>7.68</v>
      </c>
      <c r="K67" s="29">
        <v>4.4000000000000004</v>
      </c>
      <c r="L67" s="29">
        <v>96</v>
      </c>
      <c r="M67" s="29">
        <v>52000</v>
      </c>
      <c r="N67" s="29">
        <v>17000</v>
      </c>
      <c r="O67" s="29">
        <v>8000</v>
      </c>
      <c r="P67" s="29" t="str">
        <f>IF('Employee data'!$M67&gt;=50000,"10%","5%")</f>
        <v>10%</v>
      </c>
      <c r="Q67" s="29">
        <f t="shared" si="0"/>
        <v>5200</v>
      </c>
      <c r="R67" s="29">
        <f>IF(AND('Employee data'!$K67&gt;=4,'Employee data'!$L67&gt;=95),5000,0)</f>
        <v>5000</v>
      </c>
      <c r="S67" s="29">
        <f t="shared" si="1"/>
        <v>87200</v>
      </c>
      <c r="T67" s="29">
        <v>12</v>
      </c>
      <c r="U67" s="32">
        <f>'Employee data'!$M67/'Employee data'!$T67</f>
        <v>4333.333333333333</v>
      </c>
      <c r="V67" s="29">
        <v>1800</v>
      </c>
      <c r="W67" s="31">
        <f>IF('Employee data'!$S67&gt;=80000,20%,IF('Employee data'!$S67&gt;=50000,10%,5%))</f>
        <v>0.2</v>
      </c>
      <c r="X67" s="31">
        <f t="shared" si="2"/>
        <v>17440</v>
      </c>
      <c r="Y67" s="29" t="str">
        <f ca="1">IF(OR('Employee data'!$J67&gt;5,'Employee data'!$L67&gt;98),"Eligible","Not Eligible")</f>
        <v>Eligible</v>
      </c>
      <c r="Z67" s="31">
        <f t="shared" si="3"/>
        <v>63626.666666666664</v>
      </c>
    </row>
    <row r="68" spans="1:26" x14ac:dyDescent="0.3">
      <c r="A68" s="33" t="s">
        <v>183</v>
      </c>
      <c r="B68" s="33" t="s">
        <v>68</v>
      </c>
      <c r="C68" s="33" t="s">
        <v>231</v>
      </c>
      <c r="D68" s="33" t="s">
        <v>31</v>
      </c>
      <c r="E68" s="33" t="s">
        <v>22</v>
      </c>
      <c r="F68" s="34">
        <v>35618</v>
      </c>
      <c r="G68" s="34">
        <v>44942</v>
      </c>
      <c r="H68" s="33" t="str">
        <f>VLOOKUP(TRIM('Employee data'!$C68),$A$108:$B$113,2,FALSE)</f>
        <v>Sales</v>
      </c>
      <c r="I68" s="33" t="s">
        <v>301</v>
      </c>
      <c r="J68" s="35">
        <f ca="1">ROUND(YEARFRAC('Employee data'!$G68,TODAY()),2)</f>
        <v>3.56</v>
      </c>
      <c r="K68" s="33">
        <v>3.2</v>
      </c>
      <c r="L68" s="33">
        <v>88</v>
      </c>
      <c r="M68" s="33">
        <v>32000</v>
      </c>
      <c r="N68" s="33">
        <v>11000</v>
      </c>
      <c r="O68" s="33">
        <v>4200</v>
      </c>
      <c r="P68" s="33" t="str">
        <f>IF('Employee data'!$M68&gt;=50000,"10%","5%")</f>
        <v>5%</v>
      </c>
      <c r="Q68" s="33">
        <f t="shared" ref="Q68:Q102" si="4">M68*P68</f>
        <v>1600</v>
      </c>
      <c r="R68" s="33">
        <f>IF(AND('Employee data'!$K68&gt;=4,'Employee data'!$L68&gt;=95),5000,0)</f>
        <v>0</v>
      </c>
      <c r="S68" s="33">
        <f t="shared" ref="S68:S102" si="5">M68+N68+O68+Q68+R68</f>
        <v>48800</v>
      </c>
      <c r="T68" s="33">
        <v>12</v>
      </c>
      <c r="U68" s="36">
        <f>'Employee data'!$M68/'Employee data'!$T68</f>
        <v>2666.6666666666665</v>
      </c>
      <c r="V68" s="33">
        <v>900</v>
      </c>
      <c r="W68" s="35">
        <f>IF('Employee data'!$S68&gt;=80000,20%,IF('Employee data'!$S68&gt;=50000,10%,5%))</f>
        <v>0.05</v>
      </c>
      <c r="X68" s="35">
        <f t="shared" ref="X68:X102" si="6">S68*W68</f>
        <v>2440</v>
      </c>
      <c r="Y68" s="33" t="str">
        <f ca="1">IF(OR('Employee data'!$J68&gt;5,'Employee data'!$L68&gt;98),"Eligible","Not Eligible")</f>
        <v>Not Eligible</v>
      </c>
      <c r="Z68" s="35">
        <f t="shared" ref="Z68:Z102" si="7">S68-X68-U68-V68</f>
        <v>42793.333333333336</v>
      </c>
    </row>
    <row r="69" spans="1:26" x14ac:dyDescent="0.3">
      <c r="A69" s="29" t="s">
        <v>184</v>
      </c>
      <c r="B69" s="29" t="s">
        <v>70</v>
      </c>
      <c r="C69" s="29" t="s">
        <v>232</v>
      </c>
      <c r="D69" s="29" t="s">
        <v>71</v>
      </c>
      <c r="E69" s="29" t="s">
        <v>16</v>
      </c>
      <c r="F69" s="30">
        <v>33388</v>
      </c>
      <c r="G69" s="30">
        <v>43017</v>
      </c>
      <c r="H69" s="29" t="str">
        <f>VLOOKUP(TRIM('Employee data'!$C69),$A$108:$B$113,2,FALSE)</f>
        <v>Operations</v>
      </c>
      <c r="I69" s="29" t="s">
        <v>302</v>
      </c>
      <c r="J69" s="31">
        <f ca="1">ROUND(YEARFRAC('Employee data'!$G69,TODAY()),2)</f>
        <v>8.83</v>
      </c>
      <c r="K69" s="29">
        <v>4.0999999999999996</v>
      </c>
      <c r="L69" s="29">
        <v>95</v>
      </c>
      <c r="M69" s="29">
        <v>43000</v>
      </c>
      <c r="N69" s="29">
        <v>14500</v>
      </c>
      <c r="O69" s="29">
        <v>6000</v>
      </c>
      <c r="P69" s="29" t="str">
        <f>IF('Employee data'!$M69&gt;=50000,"10%","5%")</f>
        <v>5%</v>
      </c>
      <c r="Q69" s="29">
        <f t="shared" si="4"/>
        <v>2150</v>
      </c>
      <c r="R69" s="29">
        <f>IF(AND('Employee data'!$K69&gt;=4,'Employee data'!$L69&gt;=95),5000,0)</f>
        <v>5000</v>
      </c>
      <c r="S69" s="29">
        <f t="shared" si="5"/>
        <v>70650</v>
      </c>
      <c r="T69" s="29">
        <v>12</v>
      </c>
      <c r="U69" s="32">
        <f>'Employee data'!$M69/'Employee data'!$T69</f>
        <v>3583.3333333333335</v>
      </c>
      <c r="V69" s="29">
        <v>1200</v>
      </c>
      <c r="W69" s="31">
        <f>IF('Employee data'!$S69&gt;=80000,20%,IF('Employee data'!$S69&gt;=50000,10%,5%))</f>
        <v>0.1</v>
      </c>
      <c r="X69" s="31">
        <f t="shared" si="6"/>
        <v>7065</v>
      </c>
      <c r="Y69" s="29" t="str">
        <f ca="1">IF(OR('Employee data'!$J69&gt;5,'Employee data'!$L69&gt;98),"Eligible","Not Eligible")</f>
        <v>Eligible</v>
      </c>
      <c r="Z69" s="31">
        <f t="shared" si="7"/>
        <v>58801.666666666664</v>
      </c>
    </row>
    <row r="70" spans="1:26" x14ac:dyDescent="0.3">
      <c r="A70" s="33" t="s">
        <v>185</v>
      </c>
      <c r="B70" s="33" t="s">
        <v>73</v>
      </c>
      <c r="C70" s="33" t="s">
        <v>233</v>
      </c>
      <c r="D70" s="33" t="s">
        <v>74</v>
      </c>
      <c r="E70" s="33" t="s">
        <v>22</v>
      </c>
      <c r="F70" s="34">
        <v>35877</v>
      </c>
      <c r="G70" s="34">
        <v>44669</v>
      </c>
      <c r="H70" s="33" t="str">
        <f>VLOOKUP(TRIM('Employee data'!$C70),$A$108:$B$113,2,FALSE)</f>
        <v>Support</v>
      </c>
      <c r="I70" s="33" t="s">
        <v>303</v>
      </c>
      <c r="J70" s="35">
        <f ca="1">ROUND(YEARFRAC('Employee data'!$G70,TODAY()),2)</f>
        <v>4.3</v>
      </c>
      <c r="K70" s="33">
        <v>3.7</v>
      </c>
      <c r="L70" s="33">
        <v>93</v>
      </c>
      <c r="M70" s="33">
        <v>33000</v>
      </c>
      <c r="N70" s="33">
        <v>11200</v>
      </c>
      <c r="O70" s="33">
        <v>4500</v>
      </c>
      <c r="P70" s="33" t="str">
        <f>IF('Employee data'!$M70&gt;=50000,"10%","5%")</f>
        <v>5%</v>
      </c>
      <c r="Q70" s="33">
        <f t="shared" si="4"/>
        <v>1650</v>
      </c>
      <c r="R70" s="33">
        <f>IF(AND('Employee data'!$K70&gt;=4,'Employee data'!$L70&gt;=95),5000,0)</f>
        <v>0</v>
      </c>
      <c r="S70" s="33">
        <f t="shared" si="5"/>
        <v>50350</v>
      </c>
      <c r="T70" s="33">
        <v>12</v>
      </c>
      <c r="U70" s="36">
        <f>'Employee data'!$M70/'Employee data'!$T70</f>
        <v>2750</v>
      </c>
      <c r="V70" s="33">
        <v>850</v>
      </c>
      <c r="W70" s="35">
        <f>IF('Employee data'!$S70&gt;=80000,20%,IF('Employee data'!$S70&gt;=50000,10%,5%))</f>
        <v>0.1</v>
      </c>
      <c r="X70" s="35">
        <f t="shared" si="6"/>
        <v>5035</v>
      </c>
      <c r="Y70" s="33" t="str">
        <f ca="1">IF(OR('Employee data'!$J70&gt;5,'Employee data'!$L70&gt;98),"Eligible","Not Eligible")</f>
        <v>Not Eligible</v>
      </c>
      <c r="Z70" s="35">
        <f t="shared" si="7"/>
        <v>41715</v>
      </c>
    </row>
    <row r="71" spans="1:26" x14ac:dyDescent="0.3">
      <c r="A71" s="29" t="s">
        <v>186</v>
      </c>
      <c r="B71" s="29" t="s">
        <v>76</v>
      </c>
      <c r="C71" s="29" t="s">
        <v>228</v>
      </c>
      <c r="D71" s="29" t="s">
        <v>77</v>
      </c>
      <c r="E71" s="29" t="s">
        <v>16</v>
      </c>
      <c r="F71" s="30">
        <v>32886</v>
      </c>
      <c r="G71" s="30">
        <v>42545</v>
      </c>
      <c r="H71" s="29" t="str">
        <f>VLOOKUP(TRIM('Employee data'!$C71),$A$108:$B$113,2,FALSE)</f>
        <v>IT</v>
      </c>
      <c r="I71" s="29" t="s">
        <v>304</v>
      </c>
      <c r="J71" s="31">
        <f ca="1">ROUND(YEARFRAC('Employee data'!$G71,TODAY()),2)</f>
        <v>10.119999999999999</v>
      </c>
      <c r="K71" s="29">
        <v>4.8</v>
      </c>
      <c r="L71" s="29">
        <v>99</v>
      </c>
      <c r="M71" s="29">
        <v>68000</v>
      </c>
      <c r="N71" s="29">
        <v>23000</v>
      </c>
      <c r="O71" s="29">
        <v>11000</v>
      </c>
      <c r="P71" s="29" t="str">
        <f>IF('Employee data'!$M71&gt;=50000,"10%","5%")</f>
        <v>10%</v>
      </c>
      <c r="Q71" s="29">
        <f t="shared" si="4"/>
        <v>6800</v>
      </c>
      <c r="R71" s="29">
        <f>IF(AND('Employee data'!$K71&gt;=4,'Employee data'!$L71&gt;=95),5000,0)</f>
        <v>5000</v>
      </c>
      <c r="S71" s="29">
        <f t="shared" si="5"/>
        <v>113800</v>
      </c>
      <c r="T71" s="29">
        <v>12</v>
      </c>
      <c r="U71" s="32">
        <f>'Employee data'!$M71/'Employee data'!$T71</f>
        <v>5666.666666666667</v>
      </c>
      <c r="V71" s="29">
        <v>2800</v>
      </c>
      <c r="W71" s="31">
        <f>IF('Employee data'!$S71&gt;=80000,20%,IF('Employee data'!$S71&gt;=50000,10%,5%))</f>
        <v>0.2</v>
      </c>
      <c r="X71" s="31">
        <f t="shared" si="6"/>
        <v>22760</v>
      </c>
      <c r="Y71" s="29" t="str">
        <f ca="1">IF(OR('Employee data'!$J71&gt;5,'Employee data'!$L71&gt;98),"Eligible","Not Eligible")</f>
        <v>Eligible</v>
      </c>
      <c r="Z71" s="31">
        <f t="shared" si="7"/>
        <v>82573.333333333328</v>
      </c>
    </row>
    <row r="72" spans="1:26" x14ac:dyDescent="0.3">
      <c r="A72" s="33" t="s">
        <v>187</v>
      </c>
      <c r="B72" s="33" t="s">
        <v>79</v>
      </c>
      <c r="C72" s="33" t="s">
        <v>229</v>
      </c>
      <c r="D72" s="33" t="s">
        <v>80</v>
      </c>
      <c r="E72" s="33" t="s">
        <v>22</v>
      </c>
      <c r="F72" s="34">
        <v>34980</v>
      </c>
      <c r="G72" s="34">
        <v>44438</v>
      </c>
      <c r="H72" s="33" t="str">
        <f>VLOOKUP(TRIM('Employee data'!$C72),$A$108:$B$113,2,FALSE)</f>
        <v>HR</v>
      </c>
      <c r="I72" s="33" t="s">
        <v>305</v>
      </c>
      <c r="J72" s="35">
        <f ca="1">ROUND(YEARFRAC('Employee data'!$G72,TODAY()),2)</f>
        <v>4.93</v>
      </c>
      <c r="K72" s="33">
        <v>3.8</v>
      </c>
      <c r="L72" s="33">
        <v>91</v>
      </c>
      <c r="M72" s="33">
        <v>41000</v>
      </c>
      <c r="N72" s="33">
        <v>14500</v>
      </c>
      <c r="O72" s="33">
        <v>5800</v>
      </c>
      <c r="P72" s="33" t="str">
        <f>IF('Employee data'!$M72&gt;=50000,"10%","5%")</f>
        <v>5%</v>
      </c>
      <c r="Q72" s="33">
        <f t="shared" si="4"/>
        <v>2050</v>
      </c>
      <c r="R72" s="33">
        <f>IF(AND('Employee data'!$K72&gt;=4,'Employee data'!$L72&gt;=95),5000,0)</f>
        <v>0</v>
      </c>
      <c r="S72" s="33">
        <f t="shared" si="5"/>
        <v>63350</v>
      </c>
      <c r="T72" s="33">
        <v>12</v>
      </c>
      <c r="U72" s="36">
        <f>'Employee data'!$M72/'Employee data'!$T72</f>
        <v>3416.6666666666665</v>
      </c>
      <c r="V72" s="33">
        <v>1000</v>
      </c>
      <c r="W72" s="35">
        <f>IF('Employee data'!$S72&gt;=80000,20%,IF('Employee data'!$S72&gt;=50000,10%,5%))</f>
        <v>0.1</v>
      </c>
      <c r="X72" s="35">
        <f t="shared" si="6"/>
        <v>6335</v>
      </c>
      <c r="Y72" s="33" t="str">
        <f ca="1">IF(OR('Employee data'!$J72&gt;5,'Employee data'!$L72&gt;98),"Eligible","Not Eligible")</f>
        <v>Not Eligible</v>
      </c>
      <c r="Z72" s="35">
        <f t="shared" si="7"/>
        <v>52598.333333333336</v>
      </c>
    </row>
    <row r="73" spans="1:26" x14ac:dyDescent="0.3">
      <c r="A73" s="29" t="s">
        <v>188</v>
      </c>
      <c r="B73" s="29" t="s">
        <v>82</v>
      </c>
      <c r="C73" s="29" t="s">
        <v>230</v>
      </c>
      <c r="D73" s="29" t="s">
        <v>83</v>
      </c>
      <c r="E73" s="29" t="s">
        <v>16</v>
      </c>
      <c r="F73" s="30">
        <v>32189</v>
      </c>
      <c r="G73" s="30">
        <v>41955</v>
      </c>
      <c r="H73" s="29" t="str">
        <f>VLOOKUP(TRIM('Employee data'!$C73),$A$108:$B$113,2,FALSE)</f>
        <v>Finance</v>
      </c>
      <c r="I73" s="29" t="s">
        <v>306</v>
      </c>
      <c r="J73" s="31">
        <f ca="1">ROUND(YEARFRAC('Employee data'!$G73,TODAY()),2)</f>
        <v>11.73</v>
      </c>
      <c r="K73" s="29">
        <v>4.9000000000000004</v>
      </c>
      <c r="L73" s="29">
        <v>97</v>
      </c>
      <c r="M73" s="29">
        <v>75000</v>
      </c>
      <c r="N73" s="29">
        <v>26000</v>
      </c>
      <c r="O73" s="29">
        <v>13000</v>
      </c>
      <c r="P73" s="29" t="str">
        <f>IF('Employee data'!$M73&gt;=50000,"10%","5%")</f>
        <v>10%</v>
      </c>
      <c r="Q73" s="29">
        <f t="shared" si="4"/>
        <v>7500</v>
      </c>
      <c r="R73" s="29">
        <f>IF(AND('Employee data'!$K73&gt;=4,'Employee data'!$L73&gt;=95),5000,0)</f>
        <v>5000</v>
      </c>
      <c r="S73" s="29">
        <f t="shared" si="5"/>
        <v>126500</v>
      </c>
      <c r="T73" s="29">
        <v>12</v>
      </c>
      <c r="U73" s="32">
        <f>'Employee data'!$M73/'Employee data'!$T73</f>
        <v>6250</v>
      </c>
      <c r="V73" s="29">
        <v>3200</v>
      </c>
      <c r="W73" s="31">
        <f>IF('Employee data'!$S73&gt;=80000,20%,IF('Employee data'!$S73&gt;=50000,10%,5%))</f>
        <v>0.2</v>
      </c>
      <c r="X73" s="31">
        <f t="shared" si="6"/>
        <v>25300</v>
      </c>
      <c r="Y73" s="29" t="str">
        <f ca="1">IF(OR('Employee data'!$J73&gt;5,'Employee data'!$L73&gt;98),"Eligible","Not Eligible")</f>
        <v>Eligible</v>
      </c>
      <c r="Z73" s="31">
        <f t="shared" si="7"/>
        <v>91750</v>
      </c>
    </row>
    <row r="74" spans="1:26" x14ac:dyDescent="0.3">
      <c r="A74" s="33" t="s">
        <v>189</v>
      </c>
      <c r="B74" s="33" t="s">
        <v>85</v>
      </c>
      <c r="C74" s="33" t="s">
        <v>231</v>
      </c>
      <c r="D74" s="33" t="s">
        <v>86</v>
      </c>
      <c r="E74" s="33" t="s">
        <v>22</v>
      </c>
      <c r="F74" s="34">
        <v>34514</v>
      </c>
      <c r="G74" s="34">
        <v>43976</v>
      </c>
      <c r="H74" s="33" t="str">
        <f>VLOOKUP(TRIM('Employee data'!$C74),$A$108:$B$113,2,FALSE)</f>
        <v>Sales</v>
      </c>
      <c r="I74" s="33" t="s">
        <v>307</v>
      </c>
      <c r="J74" s="35">
        <f ca="1">ROUND(YEARFRAC('Employee data'!$G74,TODAY()),2)</f>
        <v>6.2</v>
      </c>
      <c r="K74" s="33">
        <v>3.6</v>
      </c>
      <c r="L74" s="33">
        <v>92</v>
      </c>
      <c r="M74" s="33">
        <v>36000</v>
      </c>
      <c r="N74" s="33">
        <v>12000</v>
      </c>
      <c r="O74" s="33">
        <v>5000</v>
      </c>
      <c r="P74" s="33" t="str">
        <f>IF('Employee data'!$M74&gt;=50000,"10%","5%")</f>
        <v>5%</v>
      </c>
      <c r="Q74" s="33">
        <f t="shared" si="4"/>
        <v>1800</v>
      </c>
      <c r="R74" s="33">
        <f>IF(AND('Employee data'!$K74&gt;=4,'Employee data'!$L74&gt;=95),5000,0)</f>
        <v>0</v>
      </c>
      <c r="S74" s="33">
        <f t="shared" si="5"/>
        <v>54800</v>
      </c>
      <c r="T74" s="33">
        <v>12</v>
      </c>
      <c r="U74" s="36">
        <f>'Employee data'!$M74/'Employee data'!$T74</f>
        <v>3000</v>
      </c>
      <c r="V74" s="33">
        <v>950</v>
      </c>
      <c r="W74" s="35">
        <f>IF('Employee data'!$S74&gt;=80000,20%,IF('Employee data'!$S74&gt;=50000,10%,5%))</f>
        <v>0.1</v>
      </c>
      <c r="X74" s="35">
        <f t="shared" si="6"/>
        <v>5480</v>
      </c>
      <c r="Y74" s="33" t="str">
        <f ca="1">IF(OR('Employee data'!$J74&gt;5,'Employee data'!$L74&gt;98),"Eligible","Not Eligible")</f>
        <v>Eligible</v>
      </c>
      <c r="Z74" s="35">
        <f t="shared" si="7"/>
        <v>45370</v>
      </c>
    </row>
    <row r="75" spans="1:26" x14ac:dyDescent="0.3">
      <c r="A75" s="29" t="s">
        <v>190</v>
      </c>
      <c r="B75" s="29" t="s">
        <v>88</v>
      </c>
      <c r="C75" s="29" t="s">
        <v>232</v>
      </c>
      <c r="D75" s="29" t="s">
        <v>89</v>
      </c>
      <c r="E75" s="29" t="s">
        <v>16</v>
      </c>
      <c r="F75" s="30">
        <v>33862</v>
      </c>
      <c r="G75" s="30">
        <v>43654</v>
      </c>
      <c r="H75" s="29" t="str">
        <f>VLOOKUP(TRIM('Employee data'!$C75),$A$108:$B$113,2,FALSE)</f>
        <v>Operations</v>
      </c>
      <c r="I75" s="29" t="s">
        <v>308</v>
      </c>
      <c r="J75" s="31">
        <f ca="1">ROUND(YEARFRAC('Employee data'!$G75,TODAY()),2)</f>
        <v>7.08</v>
      </c>
      <c r="K75" s="29">
        <v>4.5</v>
      </c>
      <c r="L75" s="29">
        <v>96</v>
      </c>
      <c r="M75" s="29">
        <v>54000</v>
      </c>
      <c r="N75" s="29">
        <v>18000</v>
      </c>
      <c r="O75" s="29">
        <v>8500</v>
      </c>
      <c r="P75" s="29" t="str">
        <f>IF('Employee data'!$M75&gt;=50000,"10%","5%")</f>
        <v>10%</v>
      </c>
      <c r="Q75" s="29">
        <f t="shared" si="4"/>
        <v>5400</v>
      </c>
      <c r="R75" s="29">
        <f>IF(AND('Employee data'!$K75&gt;=4,'Employee data'!$L75&gt;=95),5000,0)</f>
        <v>5000</v>
      </c>
      <c r="S75" s="29">
        <f t="shared" si="5"/>
        <v>90900</v>
      </c>
      <c r="T75" s="29">
        <v>12</v>
      </c>
      <c r="U75" s="32">
        <f>'Employee data'!$M75/'Employee data'!$T75</f>
        <v>4500</v>
      </c>
      <c r="V75" s="29">
        <v>1700</v>
      </c>
      <c r="W75" s="31">
        <f>IF('Employee data'!$S75&gt;=80000,20%,IF('Employee data'!$S75&gt;=50000,10%,5%))</f>
        <v>0.2</v>
      </c>
      <c r="X75" s="31">
        <f t="shared" si="6"/>
        <v>18180</v>
      </c>
      <c r="Y75" s="29" t="str">
        <f ca="1">IF(OR('Employee data'!$J75&gt;5,'Employee data'!$L75&gt;98),"Eligible","Not Eligible")</f>
        <v>Eligible</v>
      </c>
      <c r="Z75" s="31">
        <f t="shared" si="7"/>
        <v>66520</v>
      </c>
    </row>
    <row r="76" spans="1:26" x14ac:dyDescent="0.3">
      <c r="A76" s="33" t="s">
        <v>191</v>
      </c>
      <c r="B76" s="33" t="s">
        <v>91</v>
      </c>
      <c r="C76" s="33" t="s">
        <v>233</v>
      </c>
      <c r="D76" s="33" t="s">
        <v>39</v>
      </c>
      <c r="E76" s="33" t="s">
        <v>22</v>
      </c>
      <c r="F76" s="34">
        <v>35401</v>
      </c>
      <c r="G76" s="34">
        <v>44816</v>
      </c>
      <c r="H76" s="33" t="str">
        <f>VLOOKUP(TRIM('Employee data'!$C76),$A$108:$B$113,2,FALSE)</f>
        <v>Support</v>
      </c>
      <c r="I76" s="33" t="s">
        <v>309</v>
      </c>
      <c r="J76" s="35">
        <f ca="1">ROUND(YEARFRAC('Employee data'!$G76,TODAY()),2)</f>
        <v>3.9</v>
      </c>
      <c r="K76" s="33">
        <v>3.4</v>
      </c>
      <c r="L76" s="33">
        <v>90</v>
      </c>
      <c r="M76" s="33">
        <v>35000</v>
      </c>
      <c r="N76" s="33">
        <v>12000</v>
      </c>
      <c r="O76" s="33">
        <v>5000</v>
      </c>
      <c r="P76" s="33" t="str">
        <f>IF('Employee data'!$M76&gt;=50000,"10%","5%")</f>
        <v>5%</v>
      </c>
      <c r="Q76" s="33">
        <f t="shared" si="4"/>
        <v>1750</v>
      </c>
      <c r="R76" s="33">
        <f>IF(AND('Employee data'!$K76&gt;=4,'Employee data'!$L76&gt;=95),5000,0)</f>
        <v>0</v>
      </c>
      <c r="S76" s="33">
        <f t="shared" si="5"/>
        <v>53750</v>
      </c>
      <c r="T76" s="33">
        <v>12</v>
      </c>
      <c r="U76" s="36">
        <f>'Employee data'!$M76/'Employee data'!$T76</f>
        <v>2916.6666666666665</v>
      </c>
      <c r="V76" s="33">
        <v>900</v>
      </c>
      <c r="W76" s="35">
        <f>IF('Employee data'!$S76&gt;=80000,20%,IF('Employee data'!$S76&gt;=50000,10%,5%))</f>
        <v>0.1</v>
      </c>
      <c r="X76" s="35">
        <f t="shared" si="6"/>
        <v>5375</v>
      </c>
      <c r="Y76" s="33" t="str">
        <f ca="1">IF(OR('Employee data'!$J76&gt;5,'Employee data'!$L76&gt;98),"Eligible","Not Eligible")</f>
        <v>Not Eligible</v>
      </c>
      <c r="Z76" s="35">
        <f t="shared" si="7"/>
        <v>44558.333333333336</v>
      </c>
    </row>
    <row r="77" spans="1:26" x14ac:dyDescent="0.3">
      <c r="A77" s="29" t="s">
        <v>192</v>
      </c>
      <c r="B77" s="29" t="s">
        <v>93</v>
      </c>
      <c r="C77" s="29" t="s">
        <v>228</v>
      </c>
      <c r="D77" s="29" t="s">
        <v>94</v>
      </c>
      <c r="E77" s="29" t="s">
        <v>16</v>
      </c>
      <c r="F77" s="30">
        <v>34293</v>
      </c>
      <c r="G77" s="30">
        <v>43178</v>
      </c>
      <c r="H77" s="29" t="str">
        <f>VLOOKUP(TRIM('Employee data'!$C77),$A$108:$B$113,2,FALSE)</f>
        <v>IT</v>
      </c>
      <c r="I77" s="29" t="s">
        <v>310</v>
      </c>
      <c r="J77" s="31">
        <f ca="1">ROUND(YEARFRAC('Employee data'!$G77,TODAY()),2)</f>
        <v>8.3800000000000008</v>
      </c>
      <c r="K77" s="29">
        <v>4.3</v>
      </c>
      <c r="L77" s="29">
        <v>94</v>
      </c>
      <c r="M77" s="29">
        <v>47000</v>
      </c>
      <c r="N77" s="29">
        <v>16000</v>
      </c>
      <c r="O77" s="29">
        <v>7000</v>
      </c>
      <c r="P77" s="29" t="str">
        <f>IF('Employee data'!$M77&gt;=50000,"10%","5%")</f>
        <v>5%</v>
      </c>
      <c r="Q77" s="29">
        <f t="shared" si="4"/>
        <v>2350</v>
      </c>
      <c r="R77" s="29">
        <f>IF(AND('Employee data'!$K77&gt;=4,'Employee data'!$L77&gt;=95),5000,0)</f>
        <v>0</v>
      </c>
      <c r="S77" s="29">
        <f t="shared" si="5"/>
        <v>72350</v>
      </c>
      <c r="T77" s="29">
        <v>12</v>
      </c>
      <c r="U77" s="32">
        <f>'Employee data'!$M77/'Employee data'!$T77</f>
        <v>3916.6666666666665</v>
      </c>
      <c r="V77" s="29">
        <v>1500</v>
      </c>
      <c r="W77" s="31">
        <f>IF('Employee data'!$S77&gt;=80000,20%,IF('Employee data'!$S77&gt;=50000,10%,5%))</f>
        <v>0.1</v>
      </c>
      <c r="X77" s="31">
        <f t="shared" si="6"/>
        <v>7235</v>
      </c>
      <c r="Y77" s="29" t="str">
        <f ca="1">IF(OR('Employee data'!$J77&gt;5,'Employee data'!$L77&gt;98),"Eligible","Not Eligible")</f>
        <v>Eligible</v>
      </c>
      <c r="Z77" s="31">
        <f t="shared" si="7"/>
        <v>59698.333333333336</v>
      </c>
    </row>
    <row r="78" spans="1:26" x14ac:dyDescent="0.3">
      <c r="A78" s="33" t="s">
        <v>193</v>
      </c>
      <c r="B78" s="33" t="s">
        <v>96</v>
      </c>
      <c r="C78" s="33" t="s">
        <v>229</v>
      </c>
      <c r="D78" s="33" t="s">
        <v>97</v>
      </c>
      <c r="E78" s="33" t="s">
        <v>22</v>
      </c>
      <c r="F78" s="34">
        <v>35531</v>
      </c>
      <c r="G78" s="34">
        <v>45005</v>
      </c>
      <c r="H78" s="33" t="str">
        <f>VLOOKUP(TRIM('Employee data'!$C78),$A$108:$B$113,2,FALSE)</f>
        <v>HR</v>
      </c>
      <c r="I78" s="33" t="s">
        <v>311</v>
      </c>
      <c r="J78" s="35">
        <f ca="1">ROUND(YEARFRAC('Employee data'!$G78,TODAY()),2)</f>
        <v>3.38</v>
      </c>
      <c r="K78" s="33">
        <v>3.3</v>
      </c>
      <c r="L78" s="33">
        <v>89</v>
      </c>
      <c r="M78" s="33">
        <v>29000</v>
      </c>
      <c r="N78" s="33">
        <v>9500</v>
      </c>
      <c r="O78" s="33">
        <v>3500</v>
      </c>
      <c r="P78" s="33" t="str">
        <f>IF('Employee data'!$M78&gt;=50000,"10%","5%")</f>
        <v>5%</v>
      </c>
      <c r="Q78" s="33">
        <f t="shared" si="4"/>
        <v>1450</v>
      </c>
      <c r="R78" s="33">
        <f>IF(AND('Employee data'!$K78&gt;=4,'Employee data'!$L78&gt;=95),5000,0)</f>
        <v>0</v>
      </c>
      <c r="S78" s="33">
        <f t="shared" si="5"/>
        <v>43450</v>
      </c>
      <c r="T78" s="33">
        <v>12</v>
      </c>
      <c r="U78" s="36">
        <f>'Employee data'!$M78/'Employee data'!$T78</f>
        <v>2416.6666666666665</v>
      </c>
      <c r="V78" s="33">
        <v>700</v>
      </c>
      <c r="W78" s="35">
        <f>IF('Employee data'!$S78&gt;=80000,20%,IF('Employee data'!$S78&gt;=50000,10%,5%))</f>
        <v>0.05</v>
      </c>
      <c r="X78" s="35">
        <f t="shared" si="6"/>
        <v>2172.5</v>
      </c>
      <c r="Y78" s="33" t="str">
        <f ca="1">IF(OR('Employee data'!$J78&gt;5,'Employee data'!$L78&gt;98),"Eligible","Not Eligible")</f>
        <v>Not Eligible</v>
      </c>
      <c r="Z78" s="35">
        <f t="shared" si="7"/>
        <v>38160.833333333336</v>
      </c>
    </row>
    <row r="79" spans="1:26" x14ac:dyDescent="0.3">
      <c r="A79" s="29" t="s">
        <v>194</v>
      </c>
      <c r="B79" s="29" t="s">
        <v>99</v>
      </c>
      <c r="C79" s="29" t="s">
        <v>230</v>
      </c>
      <c r="D79" s="29" t="s">
        <v>100</v>
      </c>
      <c r="E79" s="29" t="s">
        <v>16</v>
      </c>
      <c r="F79" s="30">
        <v>33477</v>
      </c>
      <c r="G79" s="30">
        <v>43083</v>
      </c>
      <c r="H79" s="29" t="str">
        <f>VLOOKUP(TRIM('Employee data'!$C79),$A$108:$B$113,2,FALSE)</f>
        <v>Finance</v>
      </c>
      <c r="I79" s="29" t="s">
        <v>312</v>
      </c>
      <c r="J79" s="31">
        <f ca="1">ROUND(YEARFRAC('Employee data'!$G79,TODAY()),2)</f>
        <v>8.64</v>
      </c>
      <c r="K79" s="29">
        <v>4.5999999999999996</v>
      </c>
      <c r="L79" s="29">
        <v>98</v>
      </c>
      <c r="M79" s="29">
        <v>50000</v>
      </c>
      <c r="N79" s="29">
        <v>16500</v>
      </c>
      <c r="O79" s="29">
        <v>7500</v>
      </c>
      <c r="P79" s="29" t="str">
        <f>IF('Employee data'!$M79&gt;=50000,"10%","5%")</f>
        <v>10%</v>
      </c>
      <c r="Q79" s="29">
        <f t="shared" si="4"/>
        <v>5000</v>
      </c>
      <c r="R79" s="29">
        <f>IF(AND('Employee data'!$K79&gt;=4,'Employee data'!$L79&gt;=95),5000,0)</f>
        <v>5000</v>
      </c>
      <c r="S79" s="29">
        <f t="shared" si="5"/>
        <v>84000</v>
      </c>
      <c r="T79" s="29">
        <v>12</v>
      </c>
      <c r="U79" s="32">
        <f>'Employee data'!$M79/'Employee data'!$T79</f>
        <v>4166.666666666667</v>
      </c>
      <c r="V79" s="29">
        <v>1600</v>
      </c>
      <c r="W79" s="31">
        <f>IF('Employee data'!$S79&gt;=80000,20%,IF('Employee data'!$S79&gt;=50000,10%,5%))</f>
        <v>0.2</v>
      </c>
      <c r="X79" s="31">
        <f t="shared" si="6"/>
        <v>16800</v>
      </c>
      <c r="Y79" s="29" t="str">
        <f ca="1">IF(OR('Employee data'!$J79&gt;5,'Employee data'!$L79&gt;98),"Eligible","Not Eligible")</f>
        <v>Eligible</v>
      </c>
      <c r="Z79" s="31">
        <f t="shared" si="7"/>
        <v>61433.333333333336</v>
      </c>
    </row>
    <row r="80" spans="1:26" x14ac:dyDescent="0.3">
      <c r="A80" s="33" t="s">
        <v>195</v>
      </c>
      <c r="B80" s="33" t="s">
        <v>102</v>
      </c>
      <c r="C80" s="33" t="s">
        <v>231</v>
      </c>
      <c r="D80" s="33" t="s">
        <v>103</v>
      </c>
      <c r="E80" s="33" t="s">
        <v>22</v>
      </c>
      <c r="F80" s="34">
        <v>35931</v>
      </c>
      <c r="G80" s="34">
        <v>44753</v>
      </c>
      <c r="H80" s="33" t="str">
        <f>VLOOKUP(TRIM('Employee data'!$C80),$A$108:$B$113,2,FALSE)</f>
        <v>Sales</v>
      </c>
      <c r="I80" s="33" t="s">
        <v>313</v>
      </c>
      <c r="J80" s="35">
        <f ca="1">ROUND(YEARFRAC('Employee data'!$G80,TODAY()),2)</f>
        <v>4.07</v>
      </c>
      <c r="K80" s="33">
        <v>3.5</v>
      </c>
      <c r="L80" s="33">
        <v>91</v>
      </c>
      <c r="M80" s="33">
        <v>30500</v>
      </c>
      <c r="N80" s="33">
        <v>10200</v>
      </c>
      <c r="O80" s="33">
        <v>3800</v>
      </c>
      <c r="P80" s="33" t="str">
        <f>IF('Employee data'!$M80&gt;=50000,"10%","5%")</f>
        <v>5%</v>
      </c>
      <c r="Q80" s="33">
        <f t="shared" si="4"/>
        <v>1525</v>
      </c>
      <c r="R80" s="33">
        <f>IF(AND('Employee data'!$K80&gt;=4,'Employee data'!$L80&gt;=95),5000,0)</f>
        <v>0</v>
      </c>
      <c r="S80" s="33">
        <f t="shared" si="5"/>
        <v>46025</v>
      </c>
      <c r="T80" s="33">
        <v>12</v>
      </c>
      <c r="U80" s="36">
        <f>'Employee data'!$M80/'Employee data'!$T80</f>
        <v>2541.6666666666665</v>
      </c>
      <c r="V80" s="33">
        <v>800</v>
      </c>
      <c r="W80" s="35">
        <f>IF('Employee data'!$S80&gt;=80000,20%,IF('Employee data'!$S80&gt;=50000,10%,5%))</f>
        <v>0.05</v>
      </c>
      <c r="X80" s="35">
        <f t="shared" si="6"/>
        <v>2301.25</v>
      </c>
      <c r="Y80" s="33" t="str">
        <f ca="1">IF(OR('Employee data'!$J80&gt;5,'Employee data'!$L80&gt;98),"Eligible","Not Eligible")</f>
        <v>Not Eligible</v>
      </c>
      <c r="Z80" s="35">
        <f t="shared" si="7"/>
        <v>40382.083333333336</v>
      </c>
    </row>
    <row r="81" spans="1:26" x14ac:dyDescent="0.3">
      <c r="A81" s="29" t="s">
        <v>196</v>
      </c>
      <c r="B81" s="29" t="s">
        <v>105</v>
      </c>
      <c r="C81" s="29" t="s">
        <v>232</v>
      </c>
      <c r="D81" s="29" t="s">
        <v>106</v>
      </c>
      <c r="E81" s="29" t="s">
        <v>16</v>
      </c>
      <c r="F81" s="30">
        <v>34365</v>
      </c>
      <c r="G81" s="30">
        <v>43857</v>
      </c>
      <c r="H81" s="29" t="str">
        <f>VLOOKUP(TRIM('Employee data'!$C81),$A$108:$B$113,2,FALSE)</f>
        <v>Operations</v>
      </c>
      <c r="I81" s="29" t="s">
        <v>314</v>
      </c>
      <c r="J81" s="31">
        <f ca="1">ROUND(YEARFRAC('Employee data'!$G81,TODAY()),2)</f>
        <v>6.53</v>
      </c>
      <c r="K81" s="29">
        <v>4.0999999999999996</v>
      </c>
      <c r="L81" s="29">
        <v>95</v>
      </c>
      <c r="M81" s="29">
        <v>38500</v>
      </c>
      <c r="N81" s="29">
        <v>12800</v>
      </c>
      <c r="O81" s="29">
        <v>5200</v>
      </c>
      <c r="P81" s="29" t="str">
        <f>IF('Employee data'!$M81&gt;=50000,"10%","5%")</f>
        <v>5%</v>
      </c>
      <c r="Q81" s="29">
        <f t="shared" si="4"/>
        <v>1925</v>
      </c>
      <c r="R81" s="29">
        <f>IF(AND('Employee data'!$K81&gt;=4,'Employee data'!$L81&gt;=95),5000,0)</f>
        <v>5000</v>
      </c>
      <c r="S81" s="29">
        <f t="shared" si="5"/>
        <v>63425</v>
      </c>
      <c r="T81" s="29">
        <v>12</v>
      </c>
      <c r="U81" s="32">
        <f>'Employee data'!$M81/'Employee data'!$T81</f>
        <v>3208.3333333333335</v>
      </c>
      <c r="V81" s="29">
        <v>1000</v>
      </c>
      <c r="W81" s="31">
        <f>IF('Employee data'!$S81&gt;=80000,20%,IF('Employee data'!$S81&gt;=50000,10%,5%))</f>
        <v>0.1</v>
      </c>
      <c r="X81" s="31">
        <f t="shared" si="6"/>
        <v>6342.5</v>
      </c>
      <c r="Y81" s="29" t="str">
        <f ca="1">IF(OR('Employee data'!$J81&gt;5,'Employee data'!$L81&gt;98),"Eligible","Not Eligible")</f>
        <v>Eligible</v>
      </c>
      <c r="Z81" s="31">
        <f t="shared" si="7"/>
        <v>52874.166666666664</v>
      </c>
    </row>
    <row r="82" spans="1:26" x14ac:dyDescent="0.3">
      <c r="A82" s="33" t="s">
        <v>197</v>
      </c>
      <c r="B82" s="33" t="s">
        <v>108</v>
      </c>
      <c r="C82" s="33" t="s">
        <v>233</v>
      </c>
      <c r="D82" s="33" t="s">
        <v>109</v>
      </c>
      <c r="E82" s="33" t="s">
        <v>22</v>
      </c>
      <c r="F82" s="34">
        <v>34951</v>
      </c>
      <c r="G82" s="34">
        <v>44522</v>
      </c>
      <c r="H82" s="33" t="str">
        <f>VLOOKUP(TRIM('Employee data'!$C82),$A$108:$B$113,2,FALSE)</f>
        <v>Support</v>
      </c>
      <c r="I82" s="33" t="s">
        <v>315</v>
      </c>
      <c r="J82" s="35">
        <f ca="1">ROUND(YEARFRAC('Employee data'!$G82,TODAY()),2)</f>
        <v>4.71</v>
      </c>
      <c r="K82" s="33">
        <v>3.7</v>
      </c>
      <c r="L82" s="33">
        <v>93</v>
      </c>
      <c r="M82" s="33">
        <v>34500</v>
      </c>
      <c r="N82" s="33">
        <v>11800</v>
      </c>
      <c r="O82" s="33">
        <v>4700</v>
      </c>
      <c r="P82" s="33" t="str">
        <f>IF('Employee data'!$M82&gt;=50000,"10%","5%")</f>
        <v>5%</v>
      </c>
      <c r="Q82" s="33">
        <f t="shared" si="4"/>
        <v>1725</v>
      </c>
      <c r="R82" s="33">
        <f>IF(AND('Employee data'!$K82&gt;=4,'Employee data'!$L82&gt;=95),5000,0)</f>
        <v>0</v>
      </c>
      <c r="S82" s="33">
        <f t="shared" si="5"/>
        <v>52725</v>
      </c>
      <c r="T82" s="33">
        <v>12</v>
      </c>
      <c r="U82" s="36">
        <f>'Employee data'!$M82/'Employee data'!$T82</f>
        <v>2875</v>
      </c>
      <c r="V82" s="33">
        <v>850</v>
      </c>
      <c r="W82" s="35">
        <f>IF('Employee data'!$S82&gt;=80000,20%,IF('Employee data'!$S82&gt;=50000,10%,5%))</f>
        <v>0.1</v>
      </c>
      <c r="X82" s="35">
        <f t="shared" si="6"/>
        <v>5272.5</v>
      </c>
      <c r="Y82" s="33" t="str">
        <f ca="1">IF(OR('Employee data'!$J82&gt;5,'Employee data'!$L82&gt;98),"Eligible","Not Eligible")</f>
        <v>Not Eligible</v>
      </c>
      <c r="Z82" s="35">
        <f t="shared" si="7"/>
        <v>43727.5</v>
      </c>
    </row>
    <row r="83" spans="1:26" x14ac:dyDescent="0.3">
      <c r="A83" s="29" t="s">
        <v>198</v>
      </c>
      <c r="B83" s="29" t="s">
        <v>111</v>
      </c>
      <c r="C83" s="29" t="s">
        <v>228</v>
      </c>
      <c r="D83" s="29" t="s">
        <v>112</v>
      </c>
      <c r="E83" s="29" t="s">
        <v>16</v>
      </c>
      <c r="F83" s="30">
        <v>32967</v>
      </c>
      <c r="G83" s="30">
        <v>42408</v>
      </c>
      <c r="H83" s="29" t="str">
        <f>VLOOKUP(TRIM('Employee data'!$C83),$A$108:$B$113,2,FALSE)</f>
        <v>IT</v>
      </c>
      <c r="I83" s="29" t="s">
        <v>316</v>
      </c>
      <c r="J83" s="31">
        <f ca="1">ROUND(YEARFRAC('Employee data'!$G83,TODAY()),2)</f>
        <v>10.49</v>
      </c>
      <c r="K83" s="29">
        <v>4.8</v>
      </c>
      <c r="L83" s="29">
        <v>99</v>
      </c>
      <c r="M83" s="29">
        <v>72000</v>
      </c>
      <c r="N83" s="29">
        <v>24500</v>
      </c>
      <c r="O83" s="29">
        <v>12500</v>
      </c>
      <c r="P83" s="29" t="str">
        <f>IF('Employee data'!$M83&gt;=50000,"10%","5%")</f>
        <v>10%</v>
      </c>
      <c r="Q83" s="29">
        <f t="shared" si="4"/>
        <v>7200</v>
      </c>
      <c r="R83" s="29">
        <f>IF(AND('Employee data'!$K83&gt;=4,'Employee data'!$L83&gt;=95),5000,0)</f>
        <v>5000</v>
      </c>
      <c r="S83" s="29">
        <f t="shared" si="5"/>
        <v>121200</v>
      </c>
      <c r="T83" s="29">
        <v>12</v>
      </c>
      <c r="U83" s="32">
        <f>'Employee data'!$M83/'Employee data'!$T83</f>
        <v>6000</v>
      </c>
      <c r="V83" s="29">
        <v>3000</v>
      </c>
      <c r="W83" s="31">
        <f>IF('Employee data'!$S83&gt;=80000,20%,IF('Employee data'!$S83&gt;=50000,10%,5%))</f>
        <v>0.2</v>
      </c>
      <c r="X83" s="31">
        <f t="shared" si="6"/>
        <v>24240</v>
      </c>
      <c r="Y83" s="29" t="str">
        <f ca="1">IF(OR('Employee data'!$J83&gt;5,'Employee data'!$L83&gt;98),"Eligible","Not Eligible")</f>
        <v>Eligible</v>
      </c>
      <c r="Z83" s="31">
        <f t="shared" si="7"/>
        <v>87960</v>
      </c>
    </row>
    <row r="84" spans="1:26" x14ac:dyDescent="0.3">
      <c r="A84" s="33" t="s">
        <v>199</v>
      </c>
      <c r="B84" s="33" t="s">
        <v>114</v>
      </c>
      <c r="C84" s="33" t="s">
        <v>229</v>
      </c>
      <c r="D84" s="33" t="s">
        <v>115</v>
      </c>
      <c r="E84" s="33" t="s">
        <v>22</v>
      </c>
      <c r="F84" s="34">
        <v>32708</v>
      </c>
      <c r="G84" s="34">
        <v>42142</v>
      </c>
      <c r="H84" s="33" t="str">
        <f>VLOOKUP(TRIM('Employee data'!$C84),$A$108:$B$113,2,FALSE)</f>
        <v>HR</v>
      </c>
      <c r="I84" s="33" t="s">
        <v>317</v>
      </c>
      <c r="J84" s="35">
        <f ca="1">ROUND(YEARFRAC('Employee data'!$G84,TODAY()),2)</f>
        <v>11.22</v>
      </c>
      <c r="K84" s="33">
        <v>4.2</v>
      </c>
      <c r="L84" s="33">
        <v>96</v>
      </c>
      <c r="M84" s="33">
        <v>80000</v>
      </c>
      <c r="N84" s="33">
        <v>28000</v>
      </c>
      <c r="O84" s="33">
        <v>15000</v>
      </c>
      <c r="P84" s="33" t="str">
        <f>IF('Employee data'!$M84&gt;=50000,"10%","5%")</f>
        <v>10%</v>
      </c>
      <c r="Q84" s="33">
        <f t="shared" si="4"/>
        <v>8000</v>
      </c>
      <c r="R84" s="33">
        <f>IF(AND('Employee data'!$K84&gt;=4,'Employee data'!$L84&gt;=95),5000,0)</f>
        <v>5000</v>
      </c>
      <c r="S84" s="33">
        <f t="shared" si="5"/>
        <v>136000</v>
      </c>
      <c r="T84" s="33">
        <v>12</v>
      </c>
      <c r="U84" s="36">
        <f>'Employee data'!$M84/'Employee data'!$T84</f>
        <v>6666.666666666667</v>
      </c>
      <c r="V84" s="33">
        <v>3500</v>
      </c>
      <c r="W84" s="35">
        <f>IF('Employee data'!$S84&gt;=80000,20%,IF('Employee data'!$S84&gt;=50000,10%,5%))</f>
        <v>0.2</v>
      </c>
      <c r="X84" s="35">
        <f t="shared" si="6"/>
        <v>27200</v>
      </c>
      <c r="Y84" s="33" t="str">
        <f ca="1">IF(OR('Employee data'!$J84&gt;5,'Employee data'!$L84&gt;98),"Eligible","Not Eligible")</f>
        <v>Eligible</v>
      </c>
      <c r="Z84" s="35">
        <f t="shared" si="7"/>
        <v>98633.333333333328</v>
      </c>
    </row>
    <row r="85" spans="1:26" x14ac:dyDescent="0.3">
      <c r="A85" s="29" t="s">
        <v>200</v>
      </c>
      <c r="B85" s="29" t="s">
        <v>117</v>
      </c>
      <c r="C85" s="29" t="s">
        <v>230</v>
      </c>
      <c r="D85" s="29" t="s">
        <v>118</v>
      </c>
      <c r="E85" s="29" t="s">
        <v>16</v>
      </c>
      <c r="F85" s="30">
        <v>32060</v>
      </c>
      <c r="G85" s="30">
        <v>41519</v>
      </c>
      <c r="H85" s="29" t="str">
        <f>VLOOKUP(TRIM('Employee data'!$C85),$A$108:$B$113,2,FALSE)</f>
        <v>Finance</v>
      </c>
      <c r="I85" s="29" t="s">
        <v>318</v>
      </c>
      <c r="J85" s="31">
        <f ca="1">ROUND(YEARFRAC('Employee data'!$G85,TODAY()),2)</f>
        <v>12.93</v>
      </c>
      <c r="K85" s="29">
        <v>4.9000000000000004</v>
      </c>
      <c r="L85" s="29">
        <v>97</v>
      </c>
      <c r="M85" s="29">
        <v>78000</v>
      </c>
      <c r="N85" s="29">
        <v>27000</v>
      </c>
      <c r="O85" s="29">
        <v>14000</v>
      </c>
      <c r="P85" s="29" t="str">
        <f>IF('Employee data'!$M85&gt;=50000,"10%","5%")</f>
        <v>10%</v>
      </c>
      <c r="Q85" s="29">
        <f t="shared" si="4"/>
        <v>7800</v>
      </c>
      <c r="R85" s="29">
        <f>IF(AND('Employee data'!$K85&gt;=4,'Employee data'!$L85&gt;=95),5000,0)</f>
        <v>5000</v>
      </c>
      <c r="S85" s="29">
        <f t="shared" si="5"/>
        <v>131800</v>
      </c>
      <c r="T85" s="29">
        <v>12</v>
      </c>
      <c r="U85" s="32">
        <f>'Employee data'!$M85/'Employee data'!$T85</f>
        <v>6500</v>
      </c>
      <c r="V85" s="29">
        <v>3300</v>
      </c>
      <c r="W85" s="31">
        <f>IF('Employee data'!$S85&gt;=80000,20%,IF('Employee data'!$S85&gt;=50000,10%,5%))</f>
        <v>0.2</v>
      </c>
      <c r="X85" s="31">
        <f t="shared" si="6"/>
        <v>26360</v>
      </c>
      <c r="Y85" s="29" t="str">
        <f ca="1">IF(OR('Employee data'!$J85&gt;5,'Employee data'!$L85&gt;98),"Eligible","Not Eligible")</f>
        <v>Eligible</v>
      </c>
      <c r="Z85" s="31">
        <f t="shared" si="7"/>
        <v>95640</v>
      </c>
    </row>
    <row r="86" spans="1:26" x14ac:dyDescent="0.3">
      <c r="A86" s="33" t="s">
        <v>201</v>
      </c>
      <c r="B86" s="33" t="s">
        <v>120</v>
      </c>
      <c r="C86" s="33" t="s">
        <v>231</v>
      </c>
      <c r="D86" s="33" t="s">
        <v>121</v>
      </c>
      <c r="E86" s="33" t="s">
        <v>22</v>
      </c>
      <c r="F86" s="34">
        <v>33322</v>
      </c>
      <c r="G86" s="34">
        <v>42758</v>
      </c>
      <c r="H86" s="33" t="str">
        <f>VLOOKUP(TRIM('Employee data'!$C86),$A$108:$B$113,2,FALSE)</f>
        <v>Sales</v>
      </c>
      <c r="I86" s="33" t="s">
        <v>319</v>
      </c>
      <c r="J86" s="35">
        <f ca="1">ROUND(YEARFRAC('Employee data'!$G86,TODAY()),2)</f>
        <v>9.5399999999999991</v>
      </c>
      <c r="K86" s="33">
        <v>4</v>
      </c>
      <c r="L86" s="33">
        <v>94</v>
      </c>
      <c r="M86" s="33">
        <v>65000</v>
      </c>
      <c r="N86" s="33">
        <v>22000</v>
      </c>
      <c r="O86" s="33">
        <v>10000</v>
      </c>
      <c r="P86" s="33" t="str">
        <f>IF('Employee data'!$M86&gt;=50000,"10%","5%")</f>
        <v>10%</v>
      </c>
      <c r="Q86" s="33">
        <f t="shared" si="4"/>
        <v>6500</v>
      </c>
      <c r="R86" s="33">
        <f>IF(AND('Employee data'!$K86&gt;=4,'Employee data'!$L86&gt;=95),5000,0)</f>
        <v>0</v>
      </c>
      <c r="S86" s="33">
        <f t="shared" si="5"/>
        <v>103500</v>
      </c>
      <c r="T86" s="33">
        <v>12</v>
      </c>
      <c r="U86" s="36">
        <f>'Employee data'!$M86/'Employee data'!$T86</f>
        <v>5416.666666666667</v>
      </c>
      <c r="V86" s="33">
        <v>2500</v>
      </c>
      <c r="W86" s="35">
        <f>IF('Employee data'!$S86&gt;=80000,20%,IF('Employee data'!$S86&gt;=50000,10%,5%))</f>
        <v>0.2</v>
      </c>
      <c r="X86" s="35">
        <f t="shared" si="6"/>
        <v>20700</v>
      </c>
      <c r="Y86" s="33" t="str">
        <f ca="1">IF(OR('Employee data'!$J86&gt;5,'Employee data'!$L86&gt;98),"Eligible","Not Eligible")</f>
        <v>Eligible</v>
      </c>
      <c r="Z86" s="35">
        <f t="shared" si="7"/>
        <v>74883.333333333328</v>
      </c>
    </row>
    <row r="87" spans="1:26" x14ac:dyDescent="0.3">
      <c r="A87" s="29" t="s">
        <v>202</v>
      </c>
      <c r="B87" s="29" t="s">
        <v>123</v>
      </c>
      <c r="C87" s="29" t="s">
        <v>232</v>
      </c>
      <c r="D87" s="29" t="s">
        <v>124</v>
      </c>
      <c r="E87" s="29" t="s">
        <v>16</v>
      </c>
      <c r="F87" s="30">
        <v>32483</v>
      </c>
      <c r="G87" s="30">
        <v>41806</v>
      </c>
      <c r="H87" s="29" t="str">
        <f>VLOOKUP(TRIM('Employee data'!$C87),$A$108:$B$113,2,FALSE)</f>
        <v>Operations</v>
      </c>
      <c r="I87" s="29" t="s">
        <v>320</v>
      </c>
      <c r="J87" s="31">
        <f ca="1">ROUND(YEARFRAC('Employee data'!$G87,TODAY()),2)</f>
        <v>12.14</v>
      </c>
      <c r="K87" s="29">
        <v>4.7</v>
      </c>
      <c r="L87" s="29">
        <v>98</v>
      </c>
      <c r="M87" s="29">
        <v>74000</v>
      </c>
      <c r="N87" s="29">
        <v>25000</v>
      </c>
      <c r="O87" s="29">
        <v>12000</v>
      </c>
      <c r="P87" s="29" t="str">
        <f>IF('Employee data'!$M87&gt;=50000,"10%","5%")</f>
        <v>10%</v>
      </c>
      <c r="Q87" s="29">
        <f t="shared" si="4"/>
        <v>7400</v>
      </c>
      <c r="R87" s="29">
        <f>IF(AND('Employee data'!$K87&gt;=4,'Employee data'!$L87&gt;=95),5000,0)</f>
        <v>5000</v>
      </c>
      <c r="S87" s="29">
        <f t="shared" si="5"/>
        <v>123400</v>
      </c>
      <c r="T87" s="29">
        <v>12</v>
      </c>
      <c r="U87" s="32">
        <f>'Employee data'!$M87/'Employee data'!$T87</f>
        <v>6166.666666666667</v>
      </c>
      <c r="V87" s="29">
        <v>3000</v>
      </c>
      <c r="W87" s="31">
        <f>IF('Employee data'!$S87&gt;=80000,20%,IF('Employee data'!$S87&gt;=50000,10%,5%))</f>
        <v>0.2</v>
      </c>
      <c r="X87" s="31">
        <f t="shared" si="6"/>
        <v>24680</v>
      </c>
      <c r="Y87" s="29" t="str">
        <f ca="1">IF(OR('Employee data'!$J87&gt;5,'Employee data'!$L87&gt;98),"Eligible","Not Eligible")</f>
        <v>Eligible</v>
      </c>
      <c r="Z87" s="31">
        <f t="shared" si="7"/>
        <v>89553.333333333328</v>
      </c>
    </row>
    <row r="88" spans="1:26" x14ac:dyDescent="0.3">
      <c r="A88" s="33" t="s">
        <v>203</v>
      </c>
      <c r="B88" s="33" t="s">
        <v>126</v>
      </c>
      <c r="C88" s="33" t="s">
        <v>233</v>
      </c>
      <c r="D88" s="33" t="s">
        <v>127</v>
      </c>
      <c r="E88" s="33" t="s">
        <v>22</v>
      </c>
      <c r="F88" s="34">
        <v>34028</v>
      </c>
      <c r="G88" s="34">
        <v>43752</v>
      </c>
      <c r="H88" s="33" t="str">
        <f>VLOOKUP(TRIM('Employee data'!$C88),$A$108:$B$113,2,FALSE)</f>
        <v>Support</v>
      </c>
      <c r="I88" s="33" t="s">
        <v>321</v>
      </c>
      <c r="J88" s="35">
        <f ca="1">ROUND(YEARFRAC('Employee data'!$G88,TODAY()),2)</f>
        <v>6.81</v>
      </c>
      <c r="K88" s="33">
        <v>3.8</v>
      </c>
      <c r="L88" s="33">
        <v>92</v>
      </c>
      <c r="M88" s="33">
        <v>42000</v>
      </c>
      <c r="N88" s="33">
        <v>14000</v>
      </c>
      <c r="O88" s="33">
        <v>6000</v>
      </c>
      <c r="P88" s="33" t="str">
        <f>IF('Employee data'!$M88&gt;=50000,"10%","5%")</f>
        <v>5%</v>
      </c>
      <c r="Q88" s="33">
        <f t="shared" si="4"/>
        <v>2100</v>
      </c>
      <c r="R88" s="33">
        <f>IF(AND('Employee data'!$K88&gt;=4,'Employee data'!$L88&gt;=95),5000,0)</f>
        <v>0</v>
      </c>
      <c r="S88" s="33">
        <f t="shared" si="5"/>
        <v>64100</v>
      </c>
      <c r="T88" s="33">
        <v>12</v>
      </c>
      <c r="U88" s="36">
        <f>'Employee data'!$M88/'Employee data'!$T88</f>
        <v>3500</v>
      </c>
      <c r="V88" s="33">
        <v>1200</v>
      </c>
      <c r="W88" s="35">
        <f>IF('Employee data'!$S88&gt;=80000,20%,IF('Employee data'!$S88&gt;=50000,10%,5%))</f>
        <v>0.1</v>
      </c>
      <c r="X88" s="35">
        <f t="shared" si="6"/>
        <v>6410</v>
      </c>
      <c r="Y88" s="33" t="str">
        <f ca="1">IF(OR('Employee data'!$J88&gt;5,'Employee data'!$L88&gt;98),"Eligible","Not Eligible")</f>
        <v>Eligible</v>
      </c>
      <c r="Z88" s="35">
        <f t="shared" si="7"/>
        <v>52990</v>
      </c>
    </row>
    <row r="89" spans="1:26" x14ac:dyDescent="0.3">
      <c r="A89" s="29" t="s">
        <v>204</v>
      </c>
      <c r="B89" s="29" t="s">
        <v>129</v>
      </c>
      <c r="C89" s="29" t="s">
        <v>228</v>
      </c>
      <c r="D89" s="29" t="s">
        <v>130</v>
      </c>
      <c r="E89" s="29" t="s">
        <v>16</v>
      </c>
      <c r="F89" s="30">
        <v>33760</v>
      </c>
      <c r="G89" s="30">
        <v>43332</v>
      </c>
      <c r="H89" s="29" t="str">
        <f>VLOOKUP(TRIM('Employee data'!$C89),$A$108:$B$113,2,FALSE)</f>
        <v>IT</v>
      </c>
      <c r="I89" s="29" t="s">
        <v>322</v>
      </c>
      <c r="J89" s="31">
        <f ca="1">ROUND(YEARFRAC('Employee data'!$G89,TODAY()),2)</f>
        <v>7.96</v>
      </c>
      <c r="K89" s="29">
        <v>4.5</v>
      </c>
      <c r="L89" s="29">
        <v>95</v>
      </c>
      <c r="M89" s="29">
        <v>51000</v>
      </c>
      <c r="N89" s="29">
        <v>17500</v>
      </c>
      <c r="O89" s="29">
        <v>8000</v>
      </c>
      <c r="P89" s="29" t="str">
        <f>IF('Employee data'!$M89&gt;=50000,"10%","5%")</f>
        <v>10%</v>
      </c>
      <c r="Q89" s="29">
        <f t="shared" si="4"/>
        <v>5100</v>
      </c>
      <c r="R89" s="29">
        <f>IF(AND('Employee data'!$K89&gt;=4,'Employee data'!$L89&gt;=95),5000,0)</f>
        <v>5000</v>
      </c>
      <c r="S89" s="29">
        <f t="shared" si="5"/>
        <v>86600</v>
      </c>
      <c r="T89" s="29">
        <v>12</v>
      </c>
      <c r="U89" s="32">
        <f>'Employee data'!$M89/'Employee data'!$T89</f>
        <v>4250</v>
      </c>
      <c r="V89" s="29">
        <v>1800</v>
      </c>
      <c r="W89" s="31">
        <f>IF('Employee data'!$S89&gt;=80000,20%,IF('Employee data'!$S89&gt;=50000,10%,5%))</f>
        <v>0.2</v>
      </c>
      <c r="X89" s="31">
        <f t="shared" si="6"/>
        <v>17320</v>
      </c>
      <c r="Y89" s="29" t="str">
        <f ca="1">IF(OR('Employee data'!$J89&gt;5,'Employee data'!$L89&gt;98),"Eligible","Not Eligible")</f>
        <v>Eligible</v>
      </c>
      <c r="Z89" s="31">
        <f t="shared" si="7"/>
        <v>63230</v>
      </c>
    </row>
    <row r="90" spans="1:26" x14ac:dyDescent="0.3">
      <c r="A90" s="33" t="s">
        <v>205</v>
      </c>
      <c r="B90" s="33" t="s">
        <v>132</v>
      </c>
      <c r="C90" s="33" t="s">
        <v>229</v>
      </c>
      <c r="D90" s="33" t="s">
        <v>133</v>
      </c>
      <c r="E90" s="33" t="s">
        <v>22</v>
      </c>
      <c r="F90" s="34">
        <v>35382</v>
      </c>
      <c r="G90" s="34">
        <v>44599</v>
      </c>
      <c r="H90" s="33" t="str">
        <f>VLOOKUP(TRIM('Employee data'!$C90),$A$108:$B$113,2,FALSE)</f>
        <v>HR</v>
      </c>
      <c r="I90" s="33" t="s">
        <v>323</v>
      </c>
      <c r="J90" s="35">
        <f ca="1">ROUND(YEARFRAC('Employee data'!$G90,TODAY()),2)</f>
        <v>4.5</v>
      </c>
      <c r="K90" s="33">
        <v>3.9</v>
      </c>
      <c r="L90" s="33">
        <v>93</v>
      </c>
      <c r="M90" s="33">
        <v>37000</v>
      </c>
      <c r="N90" s="33">
        <v>12500</v>
      </c>
      <c r="O90" s="33">
        <v>5000</v>
      </c>
      <c r="P90" s="33" t="str">
        <f>IF('Employee data'!$M90&gt;=50000,"10%","5%")</f>
        <v>5%</v>
      </c>
      <c r="Q90" s="33">
        <f t="shared" si="4"/>
        <v>1850</v>
      </c>
      <c r="R90" s="33">
        <f>IF(AND('Employee data'!$K90&gt;=4,'Employee data'!$L90&gt;=95),5000,0)</f>
        <v>0</v>
      </c>
      <c r="S90" s="33">
        <f t="shared" si="5"/>
        <v>56350</v>
      </c>
      <c r="T90" s="33">
        <v>12</v>
      </c>
      <c r="U90" s="36">
        <f>'Employee data'!$M90/'Employee data'!$T90</f>
        <v>3083.3333333333335</v>
      </c>
      <c r="V90" s="33">
        <v>900</v>
      </c>
      <c r="W90" s="35">
        <f>IF('Employee data'!$S90&gt;=80000,20%,IF('Employee data'!$S90&gt;=50000,10%,5%))</f>
        <v>0.1</v>
      </c>
      <c r="X90" s="35">
        <f t="shared" si="6"/>
        <v>5635</v>
      </c>
      <c r="Y90" s="33" t="str">
        <f ca="1">IF(OR('Employee data'!$J90&gt;5,'Employee data'!$L90&gt;98),"Eligible","Not Eligible")</f>
        <v>Not Eligible</v>
      </c>
      <c r="Z90" s="35">
        <f t="shared" si="7"/>
        <v>46731.666666666664</v>
      </c>
    </row>
    <row r="91" spans="1:26" x14ac:dyDescent="0.3">
      <c r="A91" s="29" t="s">
        <v>206</v>
      </c>
      <c r="B91" s="29" t="s">
        <v>135</v>
      </c>
      <c r="C91" s="29" t="s">
        <v>230</v>
      </c>
      <c r="D91" s="29" t="s">
        <v>136</v>
      </c>
      <c r="E91" s="29" t="s">
        <v>16</v>
      </c>
      <c r="F91" s="30">
        <v>34568</v>
      </c>
      <c r="G91" s="30">
        <v>44166</v>
      </c>
      <c r="H91" s="29" t="str">
        <f>VLOOKUP(TRIM('Employee data'!$C91),$A$108:$B$113,2,FALSE)</f>
        <v>Finance</v>
      </c>
      <c r="I91" s="29" t="s">
        <v>324</v>
      </c>
      <c r="J91" s="31">
        <f ca="1">ROUND(YEARFRAC('Employee data'!$G91,TODAY()),2)</f>
        <v>5.68</v>
      </c>
      <c r="K91" s="29">
        <v>4.5999999999999996</v>
      </c>
      <c r="L91" s="29">
        <v>97</v>
      </c>
      <c r="M91" s="29">
        <v>49000</v>
      </c>
      <c r="N91" s="29">
        <v>16000</v>
      </c>
      <c r="O91" s="29">
        <v>7000</v>
      </c>
      <c r="P91" s="29" t="str">
        <f>IF('Employee data'!$M91&gt;=50000,"10%","5%")</f>
        <v>5%</v>
      </c>
      <c r="Q91" s="29">
        <f t="shared" si="4"/>
        <v>2450</v>
      </c>
      <c r="R91" s="29">
        <f>IF(AND('Employee data'!$K91&gt;=4,'Employee data'!$L91&gt;=95),5000,0)</f>
        <v>5000</v>
      </c>
      <c r="S91" s="29">
        <f t="shared" si="5"/>
        <v>79450</v>
      </c>
      <c r="T91" s="29">
        <v>12</v>
      </c>
      <c r="U91" s="32">
        <f>'Employee data'!$M91/'Employee data'!$T91</f>
        <v>4083.3333333333335</v>
      </c>
      <c r="V91" s="29">
        <v>1500</v>
      </c>
      <c r="W91" s="31">
        <f>IF('Employee data'!$S91&gt;=80000,20%,IF('Employee data'!$S91&gt;=50000,10%,5%))</f>
        <v>0.1</v>
      </c>
      <c r="X91" s="31">
        <f t="shared" si="6"/>
        <v>7945</v>
      </c>
      <c r="Y91" s="29" t="str">
        <f ca="1">IF(OR('Employee data'!$J91&gt;5,'Employee data'!$L91&gt;98),"Eligible","Not Eligible")</f>
        <v>Eligible</v>
      </c>
      <c r="Z91" s="31">
        <f t="shared" si="7"/>
        <v>65921.666666666672</v>
      </c>
    </row>
    <row r="92" spans="1:26" x14ac:dyDescent="0.3">
      <c r="A92" s="33" t="s">
        <v>207</v>
      </c>
      <c r="B92" s="33" t="s">
        <v>138</v>
      </c>
      <c r="C92" s="33" t="s">
        <v>231</v>
      </c>
      <c r="D92" s="33" t="s">
        <v>31</v>
      </c>
      <c r="E92" s="33" t="s">
        <v>22</v>
      </c>
      <c r="F92" s="34">
        <v>35700</v>
      </c>
      <c r="G92" s="34">
        <v>45061</v>
      </c>
      <c r="H92" s="33" t="str">
        <f>VLOOKUP(TRIM('Employee data'!$C92),$A$108:$B$113,2,FALSE)</f>
        <v>Sales</v>
      </c>
      <c r="I92" s="33" t="s">
        <v>325</v>
      </c>
      <c r="J92" s="35">
        <f ca="1">ROUND(YEARFRAC('Employee data'!$G92,TODAY()),2)</f>
        <v>3.23</v>
      </c>
      <c r="K92" s="33">
        <v>3.5</v>
      </c>
      <c r="L92" s="33">
        <v>90</v>
      </c>
      <c r="M92" s="33">
        <v>31500</v>
      </c>
      <c r="N92" s="33">
        <v>10300</v>
      </c>
      <c r="O92" s="33">
        <v>3900</v>
      </c>
      <c r="P92" s="33" t="str">
        <f>IF('Employee data'!$M92&gt;=50000,"10%","5%")</f>
        <v>5%</v>
      </c>
      <c r="Q92" s="33">
        <f t="shared" si="4"/>
        <v>1575</v>
      </c>
      <c r="R92" s="33">
        <f>IF(AND('Employee data'!$K92&gt;=4,'Employee data'!$L92&gt;=95),5000,0)</f>
        <v>0</v>
      </c>
      <c r="S92" s="33">
        <f t="shared" si="5"/>
        <v>47275</v>
      </c>
      <c r="T92" s="33">
        <v>12</v>
      </c>
      <c r="U92" s="36">
        <f>'Employee data'!$M92/'Employee data'!$T92</f>
        <v>2625</v>
      </c>
      <c r="V92" s="33">
        <v>850</v>
      </c>
      <c r="W92" s="35">
        <f>IF('Employee data'!$S92&gt;=80000,20%,IF('Employee data'!$S92&gt;=50000,10%,5%))</f>
        <v>0.05</v>
      </c>
      <c r="X92" s="35">
        <f t="shared" si="6"/>
        <v>2363.75</v>
      </c>
      <c r="Y92" s="33" t="str">
        <f ca="1">IF(OR('Employee data'!$J92&gt;5,'Employee data'!$L92&gt;98),"Eligible","Not Eligible")</f>
        <v>Not Eligible</v>
      </c>
      <c r="Z92" s="35">
        <f t="shared" si="7"/>
        <v>41436.25</v>
      </c>
    </row>
    <row r="93" spans="1:26" x14ac:dyDescent="0.3">
      <c r="A93" s="29" t="s">
        <v>208</v>
      </c>
      <c r="B93" s="29" t="s">
        <v>140</v>
      </c>
      <c r="C93" s="29" t="s">
        <v>232</v>
      </c>
      <c r="D93" s="29" t="s">
        <v>141</v>
      </c>
      <c r="E93" s="29" t="s">
        <v>16</v>
      </c>
      <c r="F93" s="30">
        <v>34717</v>
      </c>
      <c r="G93" s="30">
        <v>44263</v>
      </c>
      <c r="H93" s="29" t="str">
        <f>VLOOKUP(TRIM('Employee data'!$C93),$A$108:$B$113,2,FALSE)</f>
        <v>Operations</v>
      </c>
      <c r="I93" s="29" t="s">
        <v>326</v>
      </c>
      <c r="J93" s="31">
        <f ca="1">ROUND(YEARFRAC('Employee data'!$G93,TODAY()),2)</f>
        <v>5.41</v>
      </c>
      <c r="K93" s="29">
        <v>4.0999999999999996</v>
      </c>
      <c r="L93" s="29">
        <v>94</v>
      </c>
      <c r="M93" s="29">
        <v>40000</v>
      </c>
      <c r="N93" s="29">
        <v>13500</v>
      </c>
      <c r="O93" s="29">
        <v>5500</v>
      </c>
      <c r="P93" s="29" t="str">
        <f>IF('Employee data'!$M93&gt;=50000,"10%","5%")</f>
        <v>5%</v>
      </c>
      <c r="Q93" s="29">
        <f t="shared" si="4"/>
        <v>2000</v>
      </c>
      <c r="R93" s="29">
        <f>IF(AND('Employee data'!$K93&gt;=4,'Employee data'!$L93&gt;=95),5000,0)</f>
        <v>0</v>
      </c>
      <c r="S93" s="29">
        <f t="shared" si="5"/>
        <v>61000</v>
      </c>
      <c r="T93" s="29">
        <v>12</v>
      </c>
      <c r="U93" s="32">
        <f>'Employee data'!$M93/'Employee data'!$T93</f>
        <v>3333.3333333333335</v>
      </c>
      <c r="V93" s="29">
        <v>1100</v>
      </c>
      <c r="W93" s="31">
        <f>IF('Employee data'!$S93&gt;=80000,20%,IF('Employee data'!$S93&gt;=50000,10%,5%))</f>
        <v>0.1</v>
      </c>
      <c r="X93" s="31">
        <f t="shared" si="6"/>
        <v>6100</v>
      </c>
      <c r="Y93" s="29" t="str">
        <f ca="1">IF(OR('Employee data'!$J93&gt;5,'Employee data'!$L93&gt;98),"Eligible","Not Eligible")</f>
        <v>Eligible</v>
      </c>
      <c r="Z93" s="31">
        <f t="shared" si="7"/>
        <v>50466.666666666664</v>
      </c>
    </row>
    <row r="94" spans="1:26" x14ac:dyDescent="0.3">
      <c r="A94" s="33" t="s">
        <v>209</v>
      </c>
      <c r="B94" s="33" t="s">
        <v>143</v>
      </c>
      <c r="C94" s="33" t="s">
        <v>233</v>
      </c>
      <c r="D94" s="33" t="s">
        <v>144</v>
      </c>
      <c r="E94" s="33" t="s">
        <v>22</v>
      </c>
      <c r="F94" s="34">
        <v>35969</v>
      </c>
      <c r="G94" s="34">
        <v>44851</v>
      </c>
      <c r="H94" s="33" t="str">
        <f>VLOOKUP(TRIM('Employee data'!$C94),$A$108:$B$113,2,FALSE)</f>
        <v>Support</v>
      </c>
      <c r="I94" s="33" t="s">
        <v>327</v>
      </c>
      <c r="J94" s="35">
        <f ca="1">ROUND(YEARFRAC('Employee data'!$G94,TODAY()),2)</f>
        <v>3.8</v>
      </c>
      <c r="K94" s="33">
        <v>3.6</v>
      </c>
      <c r="L94" s="33">
        <v>91</v>
      </c>
      <c r="M94" s="33">
        <v>32500</v>
      </c>
      <c r="N94" s="33">
        <v>11000</v>
      </c>
      <c r="O94" s="33">
        <v>4300</v>
      </c>
      <c r="P94" s="33" t="str">
        <f>IF('Employee data'!$M94&gt;=50000,"10%","5%")</f>
        <v>5%</v>
      </c>
      <c r="Q94" s="33">
        <f t="shared" si="4"/>
        <v>1625</v>
      </c>
      <c r="R94" s="33">
        <f>IF(AND('Employee data'!$K94&gt;=4,'Employee data'!$L94&gt;=95),5000,0)</f>
        <v>0</v>
      </c>
      <c r="S94" s="33">
        <f t="shared" si="5"/>
        <v>49425</v>
      </c>
      <c r="T94" s="33">
        <v>12</v>
      </c>
      <c r="U94" s="36">
        <f>'Employee data'!$M94/'Employee data'!$T94</f>
        <v>2708.3333333333335</v>
      </c>
      <c r="V94" s="33">
        <v>800</v>
      </c>
      <c r="W94" s="35">
        <f>IF('Employee data'!$S94&gt;=80000,20%,IF('Employee data'!$S94&gt;=50000,10%,5%))</f>
        <v>0.05</v>
      </c>
      <c r="X94" s="35">
        <f t="shared" si="6"/>
        <v>2471.25</v>
      </c>
      <c r="Y94" s="33" t="str">
        <f ca="1">IF(OR('Employee data'!$J94&gt;5,'Employee data'!$L94&gt;98),"Eligible","Not Eligible")</f>
        <v>Not Eligible</v>
      </c>
      <c r="Z94" s="35">
        <f t="shared" si="7"/>
        <v>43445.416666666664</v>
      </c>
    </row>
    <row r="95" spans="1:26" x14ac:dyDescent="0.3">
      <c r="A95" s="29" t="s">
        <v>210</v>
      </c>
      <c r="B95" s="29" t="s">
        <v>146</v>
      </c>
      <c r="C95" s="29" t="s">
        <v>228</v>
      </c>
      <c r="D95" s="29" t="s">
        <v>147</v>
      </c>
      <c r="E95" s="29" t="s">
        <v>16</v>
      </c>
      <c r="F95" s="30">
        <v>33571</v>
      </c>
      <c r="G95" s="30">
        <v>42835</v>
      </c>
      <c r="H95" s="29" t="str">
        <f>VLOOKUP(TRIM('Employee data'!$C95),$A$108:$B$113,2,FALSE)</f>
        <v>IT</v>
      </c>
      <c r="I95" s="29" t="s">
        <v>328</v>
      </c>
      <c r="J95" s="31">
        <f ca="1">ROUND(YEARFRAC('Employee data'!$G95,TODAY()),2)</f>
        <v>9.32</v>
      </c>
      <c r="K95" s="29">
        <v>4.8</v>
      </c>
      <c r="L95" s="29">
        <v>99</v>
      </c>
      <c r="M95" s="29">
        <v>58000</v>
      </c>
      <c r="N95" s="29">
        <v>20000</v>
      </c>
      <c r="O95" s="29">
        <v>9500</v>
      </c>
      <c r="P95" s="29" t="str">
        <f>IF('Employee data'!$M95&gt;=50000,"10%","5%")</f>
        <v>10%</v>
      </c>
      <c r="Q95" s="29">
        <f t="shared" si="4"/>
        <v>5800</v>
      </c>
      <c r="R95" s="29">
        <f>IF(AND('Employee data'!$K95&gt;=4,'Employee data'!$L95&gt;=95),5000,0)</f>
        <v>5000</v>
      </c>
      <c r="S95" s="29">
        <f t="shared" si="5"/>
        <v>98300</v>
      </c>
      <c r="T95" s="29">
        <v>12</v>
      </c>
      <c r="U95" s="32">
        <f>'Employee data'!$M95/'Employee data'!$T95</f>
        <v>4833.333333333333</v>
      </c>
      <c r="V95" s="29">
        <v>2200</v>
      </c>
      <c r="W95" s="31">
        <f>IF('Employee data'!$S95&gt;=80000,20%,IF('Employee data'!$S95&gt;=50000,10%,5%))</f>
        <v>0.2</v>
      </c>
      <c r="X95" s="31">
        <f t="shared" si="6"/>
        <v>19660</v>
      </c>
      <c r="Y95" s="29" t="str">
        <f ca="1">IF(OR('Employee data'!$J95&gt;5,'Employee data'!$L95&gt;98),"Eligible","Not Eligible")</f>
        <v>Eligible</v>
      </c>
      <c r="Z95" s="31">
        <f t="shared" si="7"/>
        <v>71606.666666666672</v>
      </c>
    </row>
    <row r="96" spans="1:26" x14ac:dyDescent="0.3">
      <c r="A96" s="33" t="s">
        <v>211</v>
      </c>
      <c r="B96" s="33" t="s">
        <v>149</v>
      </c>
      <c r="C96" s="33" t="s">
        <v>229</v>
      </c>
      <c r="D96" s="33" t="s">
        <v>150</v>
      </c>
      <c r="E96" s="33" t="s">
        <v>22</v>
      </c>
      <c r="F96" s="34">
        <v>34400</v>
      </c>
      <c r="G96" s="34">
        <v>44011</v>
      </c>
      <c r="H96" s="33" t="str">
        <f>VLOOKUP(TRIM('Employee data'!$C96),$A$108:$B$113,2,FALSE)</f>
        <v>HR</v>
      </c>
      <c r="I96" s="33" t="s">
        <v>329</v>
      </c>
      <c r="J96" s="35">
        <f ca="1">ROUND(YEARFRAC('Employee data'!$G96,TODAY()),2)</f>
        <v>6.1</v>
      </c>
      <c r="K96" s="33">
        <v>3.7</v>
      </c>
      <c r="L96" s="33">
        <v>92</v>
      </c>
      <c r="M96" s="33">
        <v>43000</v>
      </c>
      <c r="N96" s="33">
        <v>15000</v>
      </c>
      <c r="O96" s="33">
        <v>6500</v>
      </c>
      <c r="P96" s="33" t="str">
        <f>IF('Employee data'!$M96&gt;=50000,"10%","5%")</f>
        <v>5%</v>
      </c>
      <c r="Q96" s="33">
        <f t="shared" si="4"/>
        <v>2150</v>
      </c>
      <c r="R96" s="33">
        <f>IF(AND('Employee data'!$K96&gt;=4,'Employee data'!$L96&gt;=95),5000,0)</f>
        <v>0</v>
      </c>
      <c r="S96" s="33">
        <f t="shared" si="5"/>
        <v>66650</v>
      </c>
      <c r="T96" s="33">
        <v>12</v>
      </c>
      <c r="U96" s="36">
        <f>'Employee data'!$M96/'Employee data'!$T96</f>
        <v>3583.3333333333335</v>
      </c>
      <c r="V96" s="33">
        <v>1200</v>
      </c>
      <c r="W96" s="35">
        <f>IF('Employee data'!$S96&gt;=80000,20%,IF('Employee data'!$S96&gt;=50000,10%,5%))</f>
        <v>0.1</v>
      </c>
      <c r="X96" s="35">
        <f t="shared" si="6"/>
        <v>6665</v>
      </c>
      <c r="Y96" s="33" t="str">
        <f ca="1">IF(OR('Employee data'!$J96&gt;5,'Employee data'!$L96&gt;98),"Eligible","Not Eligible")</f>
        <v>Eligible</v>
      </c>
      <c r="Z96" s="35">
        <f t="shared" si="7"/>
        <v>55201.666666666664</v>
      </c>
    </row>
    <row r="97" spans="1:26" x14ac:dyDescent="0.3">
      <c r="A97" s="29" t="s">
        <v>212</v>
      </c>
      <c r="B97" s="29" t="s">
        <v>152</v>
      </c>
      <c r="C97" s="29" t="s">
        <v>230</v>
      </c>
      <c r="D97" s="29" t="s">
        <v>49</v>
      </c>
      <c r="E97" s="29" t="s">
        <v>16</v>
      </c>
      <c r="F97" s="30">
        <v>32640</v>
      </c>
      <c r="G97" s="30">
        <v>42359</v>
      </c>
      <c r="H97" s="29" t="str">
        <f>VLOOKUP(TRIM('Employee data'!$C97),$A$108:$B$113,2,FALSE)</f>
        <v>Finance</v>
      </c>
      <c r="I97" s="29" t="s">
        <v>330</v>
      </c>
      <c r="J97" s="31">
        <f ca="1">ROUND(YEARFRAC('Employee data'!$G97,TODAY()),2)</f>
        <v>10.63</v>
      </c>
      <c r="K97" s="29">
        <v>4.4000000000000004</v>
      </c>
      <c r="L97" s="29">
        <v>96</v>
      </c>
      <c r="M97" s="29">
        <v>67000</v>
      </c>
      <c r="N97" s="29">
        <v>22500</v>
      </c>
      <c r="O97" s="29">
        <v>11000</v>
      </c>
      <c r="P97" s="29" t="str">
        <f>IF('Employee data'!$M97&gt;=50000,"10%","5%")</f>
        <v>10%</v>
      </c>
      <c r="Q97" s="29">
        <f t="shared" si="4"/>
        <v>6700</v>
      </c>
      <c r="R97" s="29">
        <f>IF(AND('Employee data'!$K97&gt;=4,'Employee data'!$L97&gt;=95),5000,0)</f>
        <v>5000</v>
      </c>
      <c r="S97" s="29">
        <f t="shared" si="5"/>
        <v>112200</v>
      </c>
      <c r="T97" s="29">
        <v>12</v>
      </c>
      <c r="U97" s="32">
        <f>'Employee data'!$M97/'Employee data'!$T97</f>
        <v>5583.333333333333</v>
      </c>
      <c r="V97" s="29">
        <v>2900</v>
      </c>
      <c r="W97" s="31">
        <f>IF('Employee data'!$S97&gt;=80000,20%,IF('Employee data'!$S97&gt;=50000,10%,5%))</f>
        <v>0.2</v>
      </c>
      <c r="X97" s="31">
        <f t="shared" si="6"/>
        <v>22440</v>
      </c>
      <c r="Y97" s="29" t="str">
        <f ca="1">IF(OR('Employee data'!$J97&gt;5,'Employee data'!$L97&gt;98),"Eligible","Not Eligible")</f>
        <v>Eligible</v>
      </c>
      <c r="Z97" s="31">
        <f t="shared" si="7"/>
        <v>81276.666666666672</v>
      </c>
    </row>
    <row r="98" spans="1:26" x14ac:dyDescent="0.3">
      <c r="A98" s="33" t="s">
        <v>213</v>
      </c>
      <c r="B98" s="33" t="s">
        <v>154</v>
      </c>
      <c r="C98" s="33" t="s">
        <v>231</v>
      </c>
      <c r="D98" s="33" t="s">
        <v>155</v>
      </c>
      <c r="E98" s="33" t="s">
        <v>22</v>
      </c>
      <c r="F98" s="34">
        <v>34311</v>
      </c>
      <c r="G98" s="34">
        <v>43724</v>
      </c>
      <c r="H98" s="33" t="str">
        <f>VLOOKUP(TRIM('Employee data'!$C98),$A$108:$B$113,2,FALSE)</f>
        <v>Sales</v>
      </c>
      <c r="I98" s="33" t="s">
        <v>331</v>
      </c>
      <c r="J98" s="35">
        <f ca="1">ROUND(YEARFRAC('Employee data'!$G98,TODAY()),2)</f>
        <v>6.89</v>
      </c>
      <c r="K98" s="33">
        <v>3.3</v>
      </c>
      <c r="L98" s="33">
        <v>89</v>
      </c>
      <c r="M98" s="33">
        <v>56000</v>
      </c>
      <c r="N98" s="33">
        <v>18500</v>
      </c>
      <c r="O98" s="33">
        <v>8500</v>
      </c>
      <c r="P98" s="33" t="str">
        <f>IF('Employee data'!$M98&gt;=50000,"10%","5%")</f>
        <v>10%</v>
      </c>
      <c r="Q98" s="33">
        <f t="shared" si="4"/>
        <v>5600</v>
      </c>
      <c r="R98" s="33">
        <f>IF(AND('Employee data'!$K98&gt;=4,'Employee data'!$L98&gt;=95),5000,0)</f>
        <v>0</v>
      </c>
      <c r="S98" s="33">
        <f t="shared" si="5"/>
        <v>88600</v>
      </c>
      <c r="T98" s="33">
        <v>12</v>
      </c>
      <c r="U98" s="36">
        <f>'Employee data'!$M98/'Employee data'!$T98</f>
        <v>4666.666666666667</v>
      </c>
      <c r="V98" s="33">
        <v>1800</v>
      </c>
      <c r="W98" s="35">
        <f>IF('Employee data'!$S98&gt;=80000,20%,IF('Employee data'!$S98&gt;=50000,10%,5%))</f>
        <v>0.2</v>
      </c>
      <c r="X98" s="35">
        <f t="shared" si="6"/>
        <v>17720</v>
      </c>
      <c r="Y98" s="33" t="str">
        <f ca="1">IF(OR('Employee data'!$J98&gt;5,'Employee data'!$L98&gt;98),"Eligible","Not Eligible")</f>
        <v>Eligible</v>
      </c>
      <c r="Z98" s="35">
        <f t="shared" si="7"/>
        <v>64413.333333333328</v>
      </c>
    </row>
    <row r="99" spans="1:26" x14ac:dyDescent="0.3">
      <c r="A99" s="29" t="s">
        <v>214</v>
      </c>
      <c r="B99" s="29" t="s">
        <v>157</v>
      </c>
      <c r="C99" s="29" t="s">
        <v>232</v>
      </c>
      <c r="D99" s="29" t="s">
        <v>158</v>
      </c>
      <c r="E99" s="29" t="s">
        <v>16</v>
      </c>
      <c r="F99" s="30">
        <v>33648</v>
      </c>
      <c r="G99" s="30">
        <v>43129</v>
      </c>
      <c r="H99" s="29" t="str">
        <f>VLOOKUP(TRIM('Employee data'!$C99),$A$108:$B$113,2,FALSE)</f>
        <v>Operations</v>
      </c>
      <c r="I99" s="29" t="s">
        <v>332</v>
      </c>
      <c r="J99" s="31">
        <f ca="1">ROUND(YEARFRAC('Employee data'!$G99,TODAY()),2)</f>
        <v>8.52</v>
      </c>
      <c r="K99" s="29">
        <v>4</v>
      </c>
      <c r="L99" s="29">
        <v>95</v>
      </c>
      <c r="M99" s="29">
        <v>45000</v>
      </c>
      <c r="N99" s="29">
        <v>15000</v>
      </c>
      <c r="O99" s="29">
        <v>7000</v>
      </c>
      <c r="P99" s="29" t="str">
        <f>IF('Employee data'!$M99&gt;=50000,"10%","5%")</f>
        <v>5%</v>
      </c>
      <c r="Q99" s="29">
        <f t="shared" si="4"/>
        <v>2250</v>
      </c>
      <c r="R99" s="29">
        <f>IF(AND('Employee data'!$K99&gt;=4,'Employee data'!$L99&gt;=95),5000,0)</f>
        <v>5000</v>
      </c>
      <c r="S99" s="29">
        <f t="shared" si="5"/>
        <v>74250</v>
      </c>
      <c r="T99" s="29">
        <v>12</v>
      </c>
      <c r="U99" s="32">
        <f>'Employee data'!$M99/'Employee data'!$T99</f>
        <v>3750</v>
      </c>
      <c r="V99" s="29">
        <v>1300</v>
      </c>
      <c r="W99" s="31">
        <f>IF('Employee data'!$S99&gt;=80000,20%,IF('Employee data'!$S99&gt;=50000,10%,5%))</f>
        <v>0.1</v>
      </c>
      <c r="X99" s="31">
        <f t="shared" si="6"/>
        <v>7425</v>
      </c>
      <c r="Y99" s="29" t="str">
        <f ca="1">IF(OR('Employee data'!$J99&gt;5,'Employee data'!$L99&gt;98),"Eligible","Not Eligible")</f>
        <v>Eligible</v>
      </c>
      <c r="Z99" s="31">
        <f t="shared" si="7"/>
        <v>61775</v>
      </c>
    </row>
    <row r="100" spans="1:26" x14ac:dyDescent="0.3">
      <c r="A100" s="33" t="s">
        <v>215</v>
      </c>
      <c r="B100" s="33" t="s">
        <v>160</v>
      </c>
      <c r="C100" s="33" t="s">
        <v>233</v>
      </c>
      <c r="D100" s="33" t="s">
        <v>161</v>
      </c>
      <c r="E100" s="33" t="s">
        <v>22</v>
      </c>
      <c r="F100" s="34">
        <v>35276</v>
      </c>
      <c r="G100" s="34">
        <v>44543</v>
      </c>
      <c r="H100" s="33" t="str">
        <f>VLOOKUP(TRIM('Employee data'!$C100),$A$108:$B$113,2,FALSE)</f>
        <v>Support</v>
      </c>
      <c r="I100" s="33" t="s">
        <v>333</v>
      </c>
      <c r="J100" s="35">
        <f ca="1">ROUND(YEARFRAC('Employee data'!$G100,TODAY()),2)</f>
        <v>4.6500000000000004</v>
      </c>
      <c r="K100" s="33">
        <v>3.8</v>
      </c>
      <c r="L100" s="33">
        <v>93</v>
      </c>
      <c r="M100" s="33">
        <v>35500</v>
      </c>
      <c r="N100" s="33">
        <v>12100</v>
      </c>
      <c r="O100" s="33">
        <v>5000</v>
      </c>
      <c r="P100" s="33" t="str">
        <f>IF('Employee data'!$M100&gt;=50000,"10%","5%")</f>
        <v>5%</v>
      </c>
      <c r="Q100" s="33">
        <f t="shared" si="4"/>
        <v>1775</v>
      </c>
      <c r="R100" s="33">
        <f>IF(AND('Employee data'!$K100&gt;=4,'Employee data'!$L100&gt;=95),5000,0)</f>
        <v>0</v>
      </c>
      <c r="S100" s="33">
        <f t="shared" si="5"/>
        <v>54375</v>
      </c>
      <c r="T100" s="33">
        <v>12</v>
      </c>
      <c r="U100" s="36">
        <f>'Employee data'!$M100/'Employee data'!$T100</f>
        <v>2958.3333333333335</v>
      </c>
      <c r="V100" s="33">
        <v>900</v>
      </c>
      <c r="W100" s="35">
        <f>IF('Employee data'!$S100&gt;=80000,20%,IF('Employee data'!$S100&gt;=50000,10%,5%))</f>
        <v>0.1</v>
      </c>
      <c r="X100" s="35">
        <f t="shared" si="6"/>
        <v>5437.5</v>
      </c>
      <c r="Y100" s="33" t="str">
        <f ca="1">IF(OR('Employee data'!$J100&gt;5,'Employee data'!$L100&gt;98),"Eligible","Not Eligible")</f>
        <v>Not Eligible</v>
      </c>
      <c r="Z100" s="35">
        <f t="shared" si="7"/>
        <v>45079.166666666664</v>
      </c>
    </row>
    <row r="101" spans="1:26" x14ac:dyDescent="0.3">
      <c r="A101" s="29" t="s">
        <v>216</v>
      </c>
      <c r="B101" s="29" t="s">
        <v>163</v>
      </c>
      <c r="C101" s="29" t="s">
        <v>228</v>
      </c>
      <c r="D101" s="29" t="s">
        <v>164</v>
      </c>
      <c r="E101" s="29" t="s">
        <v>16</v>
      </c>
      <c r="F101" s="30">
        <v>33120</v>
      </c>
      <c r="G101" s="30">
        <v>42648</v>
      </c>
      <c r="H101" s="29" t="str">
        <f>VLOOKUP(TRIM('Employee data'!$C101),$A$108:$B$113,2,FALSE)</f>
        <v>IT</v>
      </c>
      <c r="I101" s="29" t="s">
        <v>334</v>
      </c>
      <c r="J101" s="31">
        <f ca="1">ROUND(YEARFRAC('Employee data'!$G101,TODAY()),2)</f>
        <v>9.84</v>
      </c>
      <c r="K101" s="29">
        <v>4.7</v>
      </c>
      <c r="L101" s="29">
        <v>98</v>
      </c>
      <c r="M101" s="29">
        <v>64000</v>
      </c>
      <c r="N101" s="29">
        <v>21500</v>
      </c>
      <c r="O101" s="29">
        <v>10000</v>
      </c>
      <c r="P101" s="29" t="str">
        <f>IF('Employee data'!$M101&gt;=50000,"10%","5%")</f>
        <v>10%</v>
      </c>
      <c r="Q101" s="29">
        <f t="shared" si="4"/>
        <v>6400</v>
      </c>
      <c r="R101" s="29">
        <f>IF(AND('Employee data'!$K101&gt;=4,'Employee data'!$L101&gt;=95),5000,0)</f>
        <v>5000</v>
      </c>
      <c r="S101" s="29">
        <f t="shared" si="5"/>
        <v>106900</v>
      </c>
      <c r="T101" s="29">
        <v>12</v>
      </c>
      <c r="U101" s="32">
        <f>'Employee data'!$M101/'Employee data'!$T101</f>
        <v>5333.333333333333</v>
      </c>
      <c r="V101" s="29">
        <v>2600</v>
      </c>
      <c r="W101" s="31">
        <f>IF('Employee data'!$S101&gt;=80000,20%,IF('Employee data'!$S101&gt;=50000,10%,5%))</f>
        <v>0.2</v>
      </c>
      <c r="X101" s="31">
        <f t="shared" si="6"/>
        <v>21380</v>
      </c>
      <c r="Y101" s="29" t="str">
        <f ca="1">IF(OR('Employee data'!$J101&gt;5,'Employee data'!$L101&gt;98),"Eligible","Not Eligible")</f>
        <v>Eligible</v>
      </c>
      <c r="Z101" s="31">
        <f t="shared" si="7"/>
        <v>77586.666666666672</v>
      </c>
    </row>
    <row r="102" spans="1:26" x14ac:dyDescent="0.3">
      <c r="A102" s="33" t="s">
        <v>217</v>
      </c>
      <c r="B102" s="33" t="s">
        <v>166</v>
      </c>
      <c r="C102" s="33" t="s">
        <v>229</v>
      </c>
      <c r="D102" s="33" t="s">
        <v>167</v>
      </c>
      <c r="E102" s="33" t="s">
        <v>22</v>
      </c>
      <c r="F102" s="34">
        <v>35487</v>
      </c>
      <c r="G102" s="34">
        <v>45040</v>
      </c>
      <c r="H102" s="33" t="str">
        <f>VLOOKUP(TRIM('Employee data'!$C102),$A$108:$B$113,2,FALSE)</f>
        <v>HR</v>
      </c>
      <c r="I102" s="33" t="s">
        <v>335</v>
      </c>
      <c r="J102" s="35">
        <f ca="1">ROUND(YEARFRAC('Employee data'!$G102,TODAY()),2)</f>
        <v>3.28</v>
      </c>
      <c r="K102" s="33">
        <v>3.6</v>
      </c>
      <c r="L102" s="33">
        <v>91</v>
      </c>
      <c r="M102" s="33">
        <v>30000</v>
      </c>
      <c r="N102" s="33">
        <v>9800</v>
      </c>
      <c r="O102" s="33">
        <v>3600</v>
      </c>
      <c r="P102" s="33" t="str">
        <f>IF('Employee data'!$M102&gt;=50000,"10%","5%")</f>
        <v>5%</v>
      </c>
      <c r="Q102" s="33">
        <f t="shared" si="4"/>
        <v>1500</v>
      </c>
      <c r="R102" s="33">
        <f>IF(AND('Employee data'!$K102&gt;=4,'Employee data'!$L102&gt;=95),5000,0)</f>
        <v>0</v>
      </c>
      <c r="S102" s="33">
        <f t="shared" si="5"/>
        <v>44900</v>
      </c>
      <c r="T102" s="33">
        <v>12</v>
      </c>
      <c r="U102" s="36">
        <f>'Employee data'!$M102/'Employee data'!$T102</f>
        <v>2500</v>
      </c>
      <c r="V102" s="33">
        <v>750</v>
      </c>
      <c r="W102" s="35">
        <f>IF('Employee data'!$S102&gt;=80000,20%,IF('Employee data'!$S102&gt;=50000,10%,5%))</f>
        <v>0.05</v>
      </c>
      <c r="X102" s="35">
        <f t="shared" si="6"/>
        <v>2245</v>
      </c>
      <c r="Y102" s="33" t="str">
        <f ca="1">IF(OR('Employee data'!$J102&gt;5,'Employee data'!$L102&gt;98),"Eligible","Not Eligible")</f>
        <v>Not Eligible</v>
      </c>
      <c r="Z102" s="35">
        <f t="shared" si="7"/>
        <v>39405</v>
      </c>
    </row>
    <row r="104" spans="1:26" ht="15" thickBot="1" x14ac:dyDescent="0.35"/>
    <row r="105" spans="1:26" ht="15" thickBot="1" x14ac:dyDescent="0.35">
      <c r="L105" s="40" t="s">
        <v>380</v>
      </c>
      <c r="M105" s="41"/>
      <c r="N105" s="40" t="s">
        <v>378</v>
      </c>
      <c r="O105" s="44"/>
    </row>
    <row r="106" spans="1:26" ht="15" thickBot="1" x14ac:dyDescent="0.35">
      <c r="A106" s="40" t="s">
        <v>344</v>
      </c>
      <c r="B106" s="41"/>
      <c r="D106" s="40" t="s">
        <v>382</v>
      </c>
      <c r="E106" s="44"/>
      <c r="F106" s="41"/>
      <c r="H106" s="40" t="s">
        <v>381</v>
      </c>
      <c r="I106" s="41"/>
      <c r="L106" s="11" t="s">
        <v>344</v>
      </c>
      <c r="M106" s="12" t="s">
        <v>340</v>
      </c>
      <c r="N106" s="11" t="s">
        <v>219</v>
      </c>
      <c r="O106" s="26" t="s">
        <v>340</v>
      </c>
    </row>
    <row r="107" spans="1:26" ht="15" thickBot="1" x14ac:dyDescent="0.35">
      <c r="A107" s="5" t="s">
        <v>2</v>
      </c>
      <c r="B107" s="6" t="s">
        <v>227</v>
      </c>
      <c r="D107" s="8" t="s">
        <v>343</v>
      </c>
      <c r="E107" s="9" t="s">
        <v>221</v>
      </c>
      <c r="F107" s="10" t="s">
        <v>339</v>
      </c>
      <c r="H107" s="8" t="s">
        <v>341</v>
      </c>
      <c r="I107" s="10" t="s">
        <v>159</v>
      </c>
      <c r="L107" s="19" t="s">
        <v>14</v>
      </c>
      <c r="M107" s="12">
        <f>SUMIFS('Employee data'!$S$3:$S$102,'Employee data'!$C$3:$C$102,"D001")</f>
        <v>1738800</v>
      </c>
      <c r="N107" s="19" t="s">
        <v>14</v>
      </c>
      <c r="O107" s="25">
        <f>AVERAGEIFS('Employee data'!$S$3:$S$102,'Employee data'!$C$3:$C$102,"D001")</f>
        <v>96600</v>
      </c>
    </row>
    <row r="108" spans="1:26" ht="15" thickBot="1" x14ac:dyDescent="0.35">
      <c r="A108" s="7" t="s">
        <v>228</v>
      </c>
      <c r="B108" s="7" t="s">
        <v>14</v>
      </c>
      <c r="D108" s="11" t="s">
        <v>17</v>
      </c>
      <c r="E108">
        <v>0</v>
      </c>
      <c r="F108" s="12">
        <v>5</v>
      </c>
      <c r="H108" s="13" t="s">
        <v>3</v>
      </c>
      <c r="I108" s="15" t="str">
        <f>INDEX($D$3:$D$102,MATCH(I107,$A$3:$A$102,0))</f>
        <v>Customer Success</v>
      </c>
      <c r="L108" s="20" t="s">
        <v>20</v>
      </c>
      <c r="M108" s="12">
        <f>SUMIFS('Employee data'!$S$3:$S$102,'Employee data'!$C$3:$C$102,"D002")</f>
        <v>1191400</v>
      </c>
      <c r="N108" s="20" t="s">
        <v>20</v>
      </c>
      <c r="O108" s="38">
        <f>AVERAGEIFS('Employee data'!$S$3:$S$102,'Employee data'!$C$3:$C$102,"D002")</f>
        <v>66188.888888888891</v>
      </c>
    </row>
    <row r="109" spans="1:26" ht="15" thickBot="1" x14ac:dyDescent="0.35">
      <c r="A109" s="4" t="s">
        <v>229</v>
      </c>
      <c r="B109" s="4" t="s">
        <v>20</v>
      </c>
      <c r="D109" s="11" t="s">
        <v>23</v>
      </c>
      <c r="E109">
        <v>50000</v>
      </c>
      <c r="F109" s="12">
        <v>10</v>
      </c>
      <c r="L109" s="19" t="s">
        <v>26</v>
      </c>
      <c r="M109" s="12">
        <f>SUMIFS('Employee data'!$S$3:$S$102,'Employee data'!$C$3:$C$102,"D003")</f>
        <v>1605500</v>
      </c>
      <c r="N109" s="19" t="s">
        <v>26</v>
      </c>
      <c r="O109" s="25">
        <f>AVERAGEIFS('Employee data'!$S$3:$S$102,'Employee data'!$C$3:$C$102,"D003")</f>
        <v>100343.75</v>
      </c>
    </row>
    <row r="110" spans="1:26" ht="15" thickBot="1" x14ac:dyDescent="0.35">
      <c r="A110" s="7" t="s">
        <v>230</v>
      </c>
      <c r="B110" s="7" t="s">
        <v>26</v>
      </c>
      <c r="D110" s="11" t="s">
        <v>43</v>
      </c>
      <c r="E110">
        <v>80000</v>
      </c>
      <c r="F110" s="12">
        <v>20</v>
      </c>
      <c r="L110" s="20" t="s">
        <v>30</v>
      </c>
      <c r="M110" s="12">
        <f>SUMIFS('Employee data'!$S$3:$S$102,'Employee data'!$C$3:$C$102,"D004")</f>
        <v>963100</v>
      </c>
      <c r="N110" s="20" t="s">
        <v>30</v>
      </c>
      <c r="O110" s="38">
        <f>AVERAGEIFS('Employee data'!$S$3:$S$102,'Employee data'!$C$3:$C$102,"D004")</f>
        <v>60193.75</v>
      </c>
    </row>
    <row r="111" spans="1:26" ht="15" thickBot="1" x14ac:dyDescent="0.35">
      <c r="A111" s="4" t="s">
        <v>231</v>
      </c>
      <c r="B111" s="4" t="s">
        <v>30</v>
      </c>
      <c r="D111" s="11"/>
      <c r="F111" s="12"/>
      <c r="H111" s="40" t="s">
        <v>346</v>
      </c>
      <c r="I111" s="41"/>
      <c r="L111" s="19" t="s">
        <v>34</v>
      </c>
      <c r="M111" s="12">
        <f>SUMIFS('Employee data'!$S$3:$S$102,'Employee data'!$C$3:$C$102,"D005")</f>
        <v>1246750</v>
      </c>
      <c r="N111" s="19" t="s">
        <v>34</v>
      </c>
      <c r="O111" s="25">
        <f>AVERAGEIFS('Employee data'!$S$3:$S$102,'Employee data'!$C$3:$C$102,"D005")</f>
        <v>77921.875</v>
      </c>
    </row>
    <row r="112" spans="1:26" ht="15" thickBot="1" x14ac:dyDescent="0.35">
      <c r="A112" s="7" t="s">
        <v>232</v>
      </c>
      <c r="B112" s="7" t="s">
        <v>34</v>
      </c>
      <c r="D112" s="11"/>
      <c r="F112" s="12"/>
      <c r="G112">
        <v>10</v>
      </c>
      <c r="H112" s="17" t="s">
        <v>2</v>
      </c>
      <c r="I112" s="15" t="s">
        <v>20</v>
      </c>
      <c r="L112" s="21" t="s">
        <v>38</v>
      </c>
      <c r="M112" s="15">
        <f>SUMIFS('Employee data'!$S$3:$S$102,'Employee data'!$C$3:$C$102,"D006")</f>
        <v>864050</v>
      </c>
      <c r="N112" s="21" t="s">
        <v>38</v>
      </c>
      <c r="O112" s="39">
        <f>AVERAGEIFS('Employee data'!$S$3:$S$102,'Employee data'!$C$3:$C$102,"D006")</f>
        <v>54003.125</v>
      </c>
    </row>
    <row r="113" spans="1:13" ht="15" thickBot="1" x14ac:dyDescent="0.35">
      <c r="A113" s="4" t="s">
        <v>233</v>
      </c>
      <c r="B113" s="4" t="s">
        <v>38</v>
      </c>
      <c r="D113" s="11"/>
      <c r="E113" t="s">
        <v>342</v>
      </c>
      <c r="F113" s="12">
        <v>65000</v>
      </c>
      <c r="G113">
        <v>11</v>
      </c>
      <c r="H113" s="16" t="s">
        <v>3</v>
      </c>
      <c r="I113" s="17" t="s">
        <v>63</v>
      </c>
    </row>
    <row r="114" spans="1:13" ht="15" thickBot="1" x14ac:dyDescent="0.35">
      <c r="D114" s="11"/>
      <c r="E114" t="s">
        <v>338</v>
      </c>
      <c r="F114" s="12">
        <f>LOOKUP(F113,Table4[Gross Salary],Table4[%])</f>
        <v>10</v>
      </c>
    </row>
    <row r="115" spans="1:13" ht="15" thickBot="1" x14ac:dyDescent="0.35">
      <c r="A115" s="40" t="s">
        <v>383</v>
      </c>
      <c r="B115" s="41"/>
      <c r="D115" s="13"/>
      <c r="E115" s="14" t="s">
        <v>343</v>
      </c>
      <c r="F115" s="15" t="str">
        <f>LOOKUP(F114,Table4[Gross Salary],Table4[Slab])</f>
        <v>Slab1</v>
      </c>
      <c r="L115" s="42" t="s">
        <v>379</v>
      </c>
      <c r="M115" s="43"/>
    </row>
    <row r="116" spans="1:13" x14ac:dyDescent="0.3">
      <c r="A116" t="s">
        <v>219</v>
      </c>
      <c r="B116" t="s">
        <v>220</v>
      </c>
      <c r="L116" s="11" t="s">
        <v>349</v>
      </c>
      <c r="M116" s="12" t="s">
        <v>350</v>
      </c>
    </row>
    <row r="117" spans="1:13" x14ac:dyDescent="0.3">
      <c r="A117" t="s">
        <v>336</v>
      </c>
      <c r="B117" t="s">
        <v>116</v>
      </c>
      <c r="L117" s="22" t="s">
        <v>14</v>
      </c>
      <c r="M117" s="12">
        <f>COUNTIFS('Employee data'!$C$3:$C$102,"D001",'Employee data'!$S$3:$S$102,"&gt;50000")</f>
        <v>18</v>
      </c>
    </row>
    <row r="118" spans="1:13" x14ac:dyDescent="0.3">
      <c r="A118" t="s">
        <v>337</v>
      </c>
      <c r="B118" t="str">
        <f>VLOOKUP(B117,$A$3:$Z$102,2,FALSE)</f>
        <v>Pradeep S</v>
      </c>
      <c r="L118" s="23" t="s">
        <v>20</v>
      </c>
      <c r="M118" s="12">
        <f>COUNTIFS('Employee data'!$C$3:$C$102,"D002",'Employee data'!$S$3:$S$102,"&gt;50000")</f>
        <v>14</v>
      </c>
    </row>
    <row r="119" spans="1:13" x14ac:dyDescent="0.3">
      <c r="A119" t="s">
        <v>238</v>
      </c>
      <c r="B119" t="str">
        <f>VLOOKUP(B117,$A$3:$Z$102,9,FALSE)</f>
        <v>emp033@abc.com</v>
      </c>
      <c r="L119" s="22" t="s">
        <v>26</v>
      </c>
      <c r="M119" s="12">
        <f>COUNTIFS('Employee data'!$C$3:$C$102,"D003",'Employee data'!$S$3:$S$102,"&gt;50000")</f>
        <v>16</v>
      </c>
    </row>
    <row r="120" spans="1:13" x14ac:dyDescent="0.3">
      <c r="L120" s="23" t="s">
        <v>30</v>
      </c>
      <c r="M120" s="12">
        <f>COUNTIFS('Employee data'!$C$3:$C$102,"D004",'Employee data'!$S$3:$S$102,"&gt;50000")</f>
        <v>6</v>
      </c>
    </row>
    <row r="121" spans="1:13" ht="15" thickBot="1" x14ac:dyDescent="0.35">
      <c r="L121" s="22" t="s">
        <v>34</v>
      </c>
      <c r="M121" s="12">
        <f>COUNTIFS('Employee data'!$C$3:$C$102,"D005",'Employee data'!$S$3:$S$102,"&gt;50000")</f>
        <v>16</v>
      </c>
    </row>
    <row r="122" spans="1:13" ht="15" thickBot="1" x14ac:dyDescent="0.35">
      <c r="A122" s="42" t="s">
        <v>377</v>
      </c>
      <c r="B122" s="43"/>
      <c r="L122" s="24" t="s">
        <v>38</v>
      </c>
      <c r="M122" s="15">
        <f>COUNTIFS('Employee data'!$C$3:$C$102,"D006",'Employee data'!$S$3:$S$102,"&gt;50000")</f>
        <v>14</v>
      </c>
    </row>
    <row r="123" spans="1:13" x14ac:dyDescent="0.3">
      <c r="A123" s="11" t="s">
        <v>355</v>
      </c>
      <c r="B123" s="12" t="s">
        <v>356</v>
      </c>
    </row>
    <row r="124" spans="1:13" x14ac:dyDescent="0.3">
      <c r="A124" s="11" t="s">
        <v>336</v>
      </c>
      <c r="B124" s="12" t="s">
        <v>159</v>
      </c>
    </row>
    <row r="125" spans="1:13" x14ac:dyDescent="0.3">
      <c r="A125" s="11" t="s">
        <v>354</v>
      </c>
      <c r="B125" s="12" t="str">
        <f>VLOOKUP(B124,'Employee data'!$A$3:$Z$102,2)</f>
        <v>Anjali N</v>
      </c>
    </row>
    <row r="126" spans="1:13" x14ac:dyDescent="0.3">
      <c r="A126" s="11" t="s">
        <v>2</v>
      </c>
      <c r="B126" s="12" t="str">
        <f>VLOOKUP(B124,'Employee data'!$A$3:$Z$102,8)</f>
        <v>Support</v>
      </c>
    </row>
    <row r="127" spans="1:13" x14ac:dyDescent="0.3">
      <c r="A127" s="11" t="s">
        <v>3</v>
      </c>
      <c r="B127" s="12" t="str">
        <f>VLOOKUP(B124,'Employee data'!$A$3:$Z$102,4)</f>
        <v>Customer Success</v>
      </c>
    </row>
    <row r="128" spans="1:13" x14ac:dyDescent="0.3">
      <c r="A128" s="11" t="s">
        <v>351</v>
      </c>
      <c r="B128" s="12">
        <f>VLOOKUP(B124,'Employee data'!$A$3:$Z$102,13)</f>
        <v>35500</v>
      </c>
    </row>
    <row r="129" spans="1:2" x14ac:dyDescent="0.3">
      <c r="A129" s="11" t="s">
        <v>218</v>
      </c>
      <c r="B129" s="12">
        <f>VLOOKUP(B124,'Employee data'!$A$3:$Z$102,17)</f>
        <v>1775</v>
      </c>
    </row>
    <row r="130" spans="1:2" x14ac:dyDescent="0.3">
      <c r="A130" s="11" t="s">
        <v>352</v>
      </c>
      <c r="B130" s="12">
        <f>VLOOKUP(B124,'Employee data'!$A$3:$Z$102,21)</f>
        <v>2958.3333333333335</v>
      </c>
    </row>
    <row r="131" spans="1:2" x14ac:dyDescent="0.3">
      <c r="A131" s="11" t="s">
        <v>353</v>
      </c>
      <c r="B131" s="12">
        <f>VLOOKUP(B124,'Employee data'!$A$3:$Z$102,24)</f>
        <v>5437.5</v>
      </c>
    </row>
    <row r="132" spans="1:2" ht="15" thickBot="1" x14ac:dyDescent="0.35">
      <c r="A132" s="13" t="s">
        <v>223</v>
      </c>
      <c r="B132" s="15">
        <f>VLOOKUP(B124,'Employee data'!$A$3:$Z$102,26)</f>
        <v>45079.166666666664</v>
      </c>
    </row>
  </sheetData>
  <mergeCells count="9">
    <mergeCell ref="L105:M105"/>
    <mergeCell ref="L115:M115"/>
    <mergeCell ref="A122:B122"/>
    <mergeCell ref="N105:O105"/>
    <mergeCell ref="D106:F106"/>
    <mergeCell ref="H106:I106"/>
    <mergeCell ref="A106:B106"/>
    <mergeCell ref="A115:B115"/>
    <mergeCell ref="H111:I111"/>
  </mergeCells>
  <phoneticPr fontId="20" type="noConversion"/>
  <dataValidations count="1">
    <dataValidation type="list" allowBlank="1" showInputMessage="1" showErrorMessage="1" sqref="I113" xr:uid="{5D60E416-D5FA-4C98-851A-123283FC86A0}">
      <formula1>INDIRECT($I$112)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C45F98-A6A5-4DA4-AB03-071C69D6EFB9}">
          <x14:formula1>
            <xm:f>'Dept,Desig'!$A$2:$A$7</xm:f>
          </x14:formula1>
          <xm:sqref>I112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E289-C0D7-4B8C-B04A-2734D3223C8A}">
  <dimension ref="A3:D23"/>
  <sheetViews>
    <sheetView workbookViewId="0">
      <selection activeCell="I8" sqref="I8"/>
    </sheetView>
  </sheetViews>
  <sheetFormatPr defaultRowHeight="14.4" x14ac:dyDescent="0.3"/>
  <cols>
    <col min="1" max="1" width="12.5546875" bestFit="1" customWidth="1"/>
    <col min="2" max="3" width="17.77734375" bestFit="1" customWidth="1"/>
    <col min="4" max="4" width="20.88671875" bestFit="1" customWidth="1"/>
    <col min="5" max="101" width="7.88671875" bestFit="1" customWidth="1"/>
    <col min="102" max="102" width="22" bestFit="1" customWidth="1"/>
    <col min="103" max="201" width="7.88671875" bestFit="1" customWidth="1"/>
    <col min="202" max="202" width="22.5546875" bestFit="1" customWidth="1"/>
    <col min="203" max="203" width="26.77734375" bestFit="1" customWidth="1"/>
    <col min="204" max="211" width="9.77734375" bestFit="1" customWidth="1"/>
    <col min="212" max="212" width="12.44140625" bestFit="1" customWidth="1"/>
    <col min="213" max="213" width="22.5546875" bestFit="1" customWidth="1"/>
    <col min="214" max="214" width="26.77734375" bestFit="1" customWidth="1"/>
  </cols>
  <sheetData>
    <row r="3" spans="1:4" x14ac:dyDescent="0.3">
      <c r="A3" s="27" t="s">
        <v>357</v>
      </c>
      <c r="B3" t="s">
        <v>360</v>
      </c>
      <c r="C3" t="s">
        <v>359</v>
      </c>
      <c r="D3" t="s">
        <v>361</v>
      </c>
    </row>
    <row r="4" spans="1:4" x14ac:dyDescent="0.3">
      <c r="A4" s="28" t="s">
        <v>26</v>
      </c>
      <c r="B4">
        <v>16</v>
      </c>
      <c r="C4">
        <v>1439000</v>
      </c>
      <c r="D4" s="1">
        <v>89937.5</v>
      </c>
    </row>
    <row r="5" spans="1:4" x14ac:dyDescent="0.3">
      <c r="A5" s="28" t="s">
        <v>20</v>
      </c>
      <c r="B5">
        <v>18</v>
      </c>
      <c r="C5">
        <v>1135400</v>
      </c>
      <c r="D5" s="1">
        <v>63077.777777777781</v>
      </c>
    </row>
    <row r="6" spans="1:4" x14ac:dyDescent="0.3">
      <c r="A6" s="28" t="s">
        <v>14</v>
      </c>
      <c r="B6">
        <v>18</v>
      </c>
      <c r="C6">
        <v>1563000</v>
      </c>
      <c r="D6" s="1">
        <v>86833.333333333328</v>
      </c>
    </row>
    <row r="7" spans="1:4" x14ac:dyDescent="0.3">
      <c r="A7" s="28" t="s">
        <v>34</v>
      </c>
      <c r="B7">
        <v>16</v>
      </c>
      <c r="C7">
        <v>1126000</v>
      </c>
      <c r="D7" s="1">
        <v>70375</v>
      </c>
    </row>
    <row r="8" spans="1:4" x14ac:dyDescent="0.3">
      <c r="A8" s="28" t="s">
        <v>30</v>
      </c>
      <c r="B8">
        <v>16</v>
      </c>
      <c r="C8">
        <v>919800</v>
      </c>
      <c r="D8" s="1">
        <v>57487.5</v>
      </c>
    </row>
    <row r="9" spans="1:4" x14ac:dyDescent="0.3">
      <c r="A9" s="28" t="s">
        <v>38</v>
      </c>
      <c r="B9">
        <v>16</v>
      </c>
      <c r="C9">
        <v>835800</v>
      </c>
      <c r="D9" s="1">
        <v>52237.5</v>
      </c>
    </row>
    <row r="10" spans="1:4" x14ac:dyDescent="0.3">
      <c r="A10" s="28" t="s">
        <v>358</v>
      </c>
      <c r="B10">
        <v>100</v>
      </c>
      <c r="C10">
        <v>7019000</v>
      </c>
      <c r="D10">
        <v>70190</v>
      </c>
    </row>
    <row r="16" spans="1:4" x14ac:dyDescent="0.3">
      <c r="A16" s="27" t="s">
        <v>357</v>
      </c>
      <c r="B16" t="s">
        <v>359</v>
      </c>
    </row>
    <row r="17" spans="1:2" x14ac:dyDescent="0.3">
      <c r="A17" s="28" t="s">
        <v>26</v>
      </c>
      <c r="B17">
        <v>1439000</v>
      </c>
    </row>
    <row r="18" spans="1:2" x14ac:dyDescent="0.3">
      <c r="A18" s="28" t="s">
        <v>20</v>
      </c>
      <c r="B18">
        <v>1135400</v>
      </c>
    </row>
    <row r="19" spans="1:2" x14ac:dyDescent="0.3">
      <c r="A19" s="28" t="s">
        <v>14</v>
      </c>
      <c r="B19">
        <v>1563000</v>
      </c>
    </row>
    <row r="20" spans="1:2" x14ac:dyDescent="0.3">
      <c r="A20" s="28" t="s">
        <v>34</v>
      </c>
      <c r="B20">
        <v>1126000</v>
      </c>
    </row>
    <row r="21" spans="1:2" x14ac:dyDescent="0.3">
      <c r="A21" s="28" t="s">
        <v>30</v>
      </c>
      <c r="B21">
        <v>919800</v>
      </c>
    </row>
    <row r="22" spans="1:2" x14ac:dyDescent="0.3">
      <c r="A22" s="28" t="s">
        <v>38</v>
      </c>
      <c r="B22">
        <v>835800</v>
      </c>
    </row>
    <row r="23" spans="1:2" x14ac:dyDescent="0.3">
      <c r="A23" s="28" t="s">
        <v>358</v>
      </c>
      <c r="B23">
        <v>7019000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3611-53F7-4AC1-882E-137365D602E5}">
  <dimension ref="A2:H15"/>
  <sheetViews>
    <sheetView topLeftCell="A13" zoomScale="85" zoomScaleNormal="85" workbookViewId="0">
      <selection activeCell="C47" sqref="C47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20.88671875" bestFit="1" customWidth="1"/>
    <col min="4" max="4" width="17.6640625" bestFit="1" customWidth="1"/>
    <col min="5" max="5" width="17.33203125" bestFit="1" customWidth="1"/>
    <col min="7" max="7" width="12.5546875" bestFit="1" customWidth="1"/>
    <col min="8" max="8" width="14.109375" bestFit="1" customWidth="1"/>
  </cols>
  <sheetData>
    <row r="2" spans="1:8" x14ac:dyDescent="0.3">
      <c r="A2" t="s">
        <v>362</v>
      </c>
      <c r="B2" t="s">
        <v>366</v>
      </c>
      <c r="C2" t="s">
        <v>365</v>
      </c>
      <c r="D2" t="s">
        <v>364</v>
      </c>
      <c r="E2" t="s">
        <v>363</v>
      </c>
    </row>
    <row r="3" spans="1:8" x14ac:dyDescent="0.3">
      <c r="A3">
        <v>100</v>
      </c>
      <c r="B3">
        <v>7019000</v>
      </c>
      <c r="C3">
        <v>70190</v>
      </c>
      <c r="D3">
        <v>123000</v>
      </c>
      <c r="E3">
        <v>42000</v>
      </c>
    </row>
    <row r="8" spans="1:8" x14ac:dyDescent="0.3">
      <c r="A8" s="27" t="s">
        <v>357</v>
      </c>
      <c r="B8" t="s">
        <v>366</v>
      </c>
      <c r="G8" s="27" t="s">
        <v>357</v>
      </c>
      <c r="H8" t="s">
        <v>362</v>
      </c>
    </row>
    <row r="9" spans="1:8" x14ac:dyDescent="0.3">
      <c r="A9" s="28" t="s">
        <v>26</v>
      </c>
      <c r="B9">
        <v>1439000</v>
      </c>
      <c r="G9" s="28" t="s">
        <v>26</v>
      </c>
      <c r="H9">
        <v>16</v>
      </c>
    </row>
    <row r="10" spans="1:8" x14ac:dyDescent="0.3">
      <c r="A10" s="28" t="s">
        <v>20</v>
      </c>
      <c r="B10">
        <v>1135400</v>
      </c>
      <c r="G10" s="28" t="s">
        <v>20</v>
      </c>
      <c r="H10">
        <v>18</v>
      </c>
    </row>
    <row r="11" spans="1:8" x14ac:dyDescent="0.3">
      <c r="A11" s="28" t="s">
        <v>14</v>
      </c>
      <c r="B11">
        <v>1563000</v>
      </c>
      <c r="G11" s="28" t="s">
        <v>14</v>
      </c>
      <c r="H11">
        <v>18</v>
      </c>
    </row>
    <row r="12" spans="1:8" x14ac:dyDescent="0.3">
      <c r="A12" s="28" t="s">
        <v>34</v>
      </c>
      <c r="B12">
        <v>1126000</v>
      </c>
      <c r="G12" s="28" t="s">
        <v>34</v>
      </c>
      <c r="H12">
        <v>16</v>
      </c>
    </row>
    <row r="13" spans="1:8" x14ac:dyDescent="0.3">
      <c r="A13" s="28" t="s">
        <v>30</v>
      </c>
      <c r="B13">
        <v>919800</v>
      </c>
      <c r="G13" s="28" t="s">
        <v>30</v>
      </c>
      <c r="H13">
        <v>16</v>
      </c>
    </row>
    <row r="14" spans="1:8" x14ac:dyDescent="0.3">
      <c r="A14" s="28" t="s">
        <v>38</v>
      </c>
      <c r="B14">
        <v>835800</v>
      </c>
      <c r="G14" s="28" t="s">
        <v>38</v>
      </c>
      <c r="H14">
        <v>16</v>
      </c>
    </row>
    <row r="15" spans="1:8" x14ac:dyDescent="0.3">
      <c r="A15" s="28" t="s">
        <v>358</v>
      </c>
      <c r="B15">
        <v>7019000</v>
      </c>
      <c r="G15" s="28" t="s">
        <v>358</v>
      </c>
      <c r="H15">
        <v>100</v>
      </c>
    </row>
  </sheetData>
  <pageMargins left="0.7" right="0.7" top="0.75" bottom="0.75" header="0.3" footer="0.3"/>
  <pageSetup paperSize="9"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0723-8D96-407C-A829-DEFF24A47730}">
  <dimension ref="A3:C10"/>
  <sheetViews>
    <sheetView tabSelected="1" workbookViewId="0">
      <selection activeCell="E18" sqref="E18"/>
    </sheetView>
  </sheetViews>
  <sheetFormatPr defaultRowHeight="14.4" x14ac:dyDescent="0.3"/>
  <cols>
    <col min="1" max="1" width="19.109375" bestFit="1" customWidth="1"/>
    <col min="2" max="2" width="20.33203125" bestFit="1" customWidth="1"/>
    <col min="3" max="3" width="20" bestFit="1" customWidth="1"/>
    <col min="4" max="4" width="18.77734375" bestFit="1" customWidth="1"/>
    <col min="5" max="5" width="17.6640625" bestFit="1" customWidth="1"/>
    <col min="6" max="6" width="16.109375" bestFit="1" customWidth="1"/>
    <col min="7" max="7" width="19.33203125" bestFit="1" customWidth="1"/>
  </cols>
  <sheetData>
    <row r="3" spans="1:3" x14ac:dyDescent="0.3">
      <c r="A3" t="s">
        <v>369</v>
      </c>
      <c r="B3" t="s">
        <v>376</v>
      </c>
      <c r="C3" t="s">
        <v>375</v>
      </c>
    </row>
    <row r="4" spans="1:3" x14ac:dyDescent="0.3">
      <c r="A4">
        <v>100</v>
      </c>
      <c r="B4">
        <v>7609600</v>
      </c>
      <c r="C4">
        <v>350600</v>
      </c>
    </row>
    <row r="6" spans="1:3" x14ac:dyDescent="0.3">
      <c r="A6" t="s">
        <v>373</v>
      </c>
      <c r="B6" t="s">
        <v>374</v>
      </c>
      <c r="C6" t="s">
        <v>372</v>
      </c>
    </row>
    <row r="7" spans="1:3" x14ac:dyDescent="0.3">
      <c r="A7" s="2">
        <v>392500.00000000017</v>
      </c>
      <c r="B7" s="1">
        <v>1108837.5</v>
      </c>
      <c r="C7" s="1">
        <v>5952262.4999999981</v>
      </c>
    </row>
    <row r="9" spans="1:3" x14ac:dyDescent="0.3">
      <c r="A9" t="s">
        <v>365</v>
      </c>
      <c r="B9" t="s">
        <v>371</v>
      </c>
      <c r="C9" t="s">
        <v>370</v>
      </c>
    </row>
    <row r="10" spans="1:3" x14ac:dyDescent="0.3">
      <c r="A10" s="1">
        <v>59522.624999999978</v>
      </c>
      <c r="B10" s="1">
        <v>98633.333333333328</v>
      </c>
      <c r="C10" s="1">
        <v>38160.833333333336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7294-7105-4969-87A0-1C345EEA8E9B}">
  <dimension ref="A1:G15"/>
  <sheetViews>
    <sheetView workbookViewId="0">
      <selection activeCell="B2" sqref="B2"/>
    </sheetView>
  </sheetViews>
  <sheetFormatPr defaultRowHeight="14.4" x14ac:dyDescent="0.3"/>
  <cols>
    <col min="1" max="2" width="15.5546875" bestFit="1" customWidth="1"/>
    <col min="3" max="3" width="18.44140625" bestFit="1" customWidth="1"/>
    <col min="4" max="4" width="16.77734375" bestFit="1" customWidth="1"/>
    <col min="5" max="5" width="18.44140625" bestFit="1" customWidth="1"/>
    <col min="6" max="6" width="15.5546875" bestFit="1" customWidth="1"/>
    <col min="8" max="8" width="16.77734375" bestFit="1" customWidth="1"/>
  </cols>
  <sheetData>
    <row r="1" spans="1:7" x14ac:dyDescent="0.3">
      <c r="A1" s="18" t="s">
        <v>2</v>
      </c>
      <c r="B1" s="18" t="s">
        <v>30</v>
      </c>
      <c r="C1" s="18" t="s">
        <v>34</v>
      </c>
      <c r="D1" s="18" t="s">
        <v>14</v>
      </c>
      <c r="E1" s="18" t="s">
        <v>26</v>
      </c>
      <c r="F1" s="18" t="s">
        <v>20</v>
      </c>
      <c r="G1" s="18" t="s">
        <v>345</v>
      </c>
    </row>
    <row r="2" spans="1:7" x14ac:dyDescent="0.3">
      <c r="A2" t="s">
        <v>20</v>
      </c>
      <c r="B2" t="s">
        <v>31</v>
      </c>
      <c r="C2" t="s">
        <v>35</v>
      </c>
      <c r="D2" t="s">
        <v>39</v>
      </c>
      <c r="E2" t="s">
        <v>27</v>
      </c>
      <c r="F2" t="s">
        <v>15</v>
      </c>
      <c r="G2" t="s">
        <v>155</v>
      </c>
    </row>
    <row r="3" spans="1:7" x14ac:dyDescent="0.3">
      <c r="A3" t="s">
        <v>26</v>
      </c>
      <c r="B3" t="s">
        <v>86</v>
      </c>
      <c r="C3" t="s">
        <v>54</v>
      </c>
      <c r="D3" t="s">
        <v>42</v>
      </c>
      <c r="E3" t="s">
        <v>49</v>
      </c>
      <c r="F3" t="s">
        <v>46</v>
      </c>
      <c r="G3" t="s">
        <v>15</v>
      </c>
    </row>
    <row r="4" spans="1:7" x14ac:dyDescent="0.3">
      <c r="A4" t="s">
        <v>14</v>
      </c>
      <c r="B4" t="s">
        <v>103</v>
      </c>
      <c r="C4" t="s">
        <v>71</v>
      </c>
      <c r="D4" t="s">
        <v>60</v>
      </c>
      <c r="E4" t="s">
        <v>66</v>
      </c>
      <c r="F4" t="s">
        <v>80</v>
      </c>
      <c r="G4" t="s">
        <v>21</v>
      </c>
    </row>
    <row r="5" spans="1:7" x14ac:dyDescent="0.3">
      <c r="A5" t="s">
        <v>30</v>
      </c>
      <c r="B5" t="s">
        <v>121</v>
      </c>
      <c r="C5" t="s">
        <v>89</v>
      </c>
      <c r="D5" t="s">
        <v>77</v>
      </c>
      <c r="E5" t="s">
        <v>83</v>
      </c>
      <c r="F5" t="s">
        <v>63</v>
      </c>
      <c r="G5" t="s">
        <v>35</v>
      </c>
    </row>
    <row r="6" spans="1:7" x14ac:dyDescent="0.3">
      <c r="A6" t="s">
        <v>345</v>
      </c>
      <c r="C6" t="s">
        <v>124</v>
      </c>
      <c r="D6" t="s">
        <v>94</v>
      </c>
      <c r="E6" t="s">
        <v>133</v>
      </c>
      <c r="F6" t="s">
        <v>97</v>
      </c>
      <c r="G6" t="s">
        <v>347</v>
      </c>
    </row>
    <row r="7" spans="1:7" x14ac:dyDescent="0.3">
      <c r="A7" t="s">
        <v>34</v>
      </c>
      <c r="C7" t="s">
        <v>106</v>
      </c>
      <c r="D7" t="s">
        <v>112</v>
      </c>
      <c r="E7" t="s">
        <v>136</v>
      </c>
      <c r="F7" t="s">
        <v>115</v>
      </c>
      <c r="G7" t="s">
        <v>348</v>
      </c>
    </row>
    <row r="8" spans="1:7" x14ac:dyDescent="0.3">
      <c r="C8" t="s">
        <v>141</v>
      </c>
      <c r="D8" t="s">
        <v>130</v>
      </c>
      <c r="E8" t="s">
        <v>100</v>
      </c>
      <c r="F8" t="s">
        <v>150</v>
      </c>
    </row>
    <row r="9" spans="1:7" x14ac:dyDescent="0.3">
      <c r="C9" t="s">
        <v>158</v>
      </c>
      <c r="D9" t="s">
        <v>147</v>
      </c>
      <c r="E9" t="s">
        <v>118</v>
      </c>
      <c r="F9" t="s">
        <v>167</v>
      </c>
    </row>
    <row r="10" spans="1:7" x14ac:dyDescent="0.3">
      <c r="D10" t="s">
        <v>164</v>
      </c>
    </row>
    <row r="11" spans="1:7" x14ac:dyDescent="0.3">
      <c r="D11" t="s">
        <v>74</v>
      </c>
    </row>
    <row r="12" spans="1:7" x14ac:dyDescent="0.3">
      <c r="D12" t="s">
        <v>57</v>
      </c>
    </row>
    <row r="13" spans="1:7" x14ac:dyDescent="0.3">
      <c r="D13" t="s">
        <v>127</v>
      </c>
    </row>
    <row r="14" spans="1:7" x14ac:dyDescent="0.3">
      <c r="D14" t="s">
        <v>109</v>
      </c>
    </row>
    <row r="15" spans="1:7" x14ac:dyDescent="0.3">
      <c r="D1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Employee data</vt:lpstr>
      <vt:lpstr>Pivot</vt:lpstr>
      <vt:lpstr>Salary Dashboard</vt:lpstr>
      <vt:lpstr>Payroll Summary</vt:lpstr>
      <vt:lpstr>Dept,Desig</vt:lpstr>
      <vt:lpstr>Finance</vt:lpstr>
      <vt:lpstr>HR</vt:lpstr>
      <vt:lpstr>IT</vt:lpstr>
      <vt:lpstr>Marketing</vt:lpstr>
      <vt:lpstr>Operations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Lingeshkumar Vadivel</dc:creator>
  <cp:lastModifiedBy>Lingeshkumar Vadivel</cp:lastModifiedBy>
  <dcterms:created xsi:type="dcterms:W3CDTF">2026-07-24T12:10:08Z</dcterms:created>
  <dcterms:modified xsi:type="dcterms:W3CDTF">2026-08-06T07:06:29Z</dcterms:modified>
</cp:coreProperties>
</file>