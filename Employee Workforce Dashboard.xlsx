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Career\Learning\Credo\1. Excel\Project\"/>
    </mc:Choice>
  </mc:AlternateContent>
  <xr:revisionPtr revIDLastSave="0" documentId="13_ncr:1_{08436A85-3D58-4548-B7EF-750C9587E84C}" xr6:coauthVersionLast="47" xr6:coauthVersionMax="47" xr10:uidLastSave="{00000000-0000-0000-0000-000000000000}"/>
  <bookViews>
    <workbookView xWindow="-108" yWindow="-108" windowWidth="23256" windowHeight="12456" activeTab="1" xr2:uid="{5B260EE2-A7AA-4F61-B3D0-027561E6A9AF}"/>
  </bookViews>
  <sheets>
    <sheet name="Pivot" sheetId="2" r:id="rId1"/>
    <sheet name="Dashboard" sheetId="4" r:id="rId2"/>
    <sheet name="Data" sheetId="1" r:id="rId3"/>
  </sheets>
  <definedNames>
    <definedName name="Slicer_Business">#N/A</definedName>
  </definedNames>
  <calcPr calcId="18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8" i="2" l="1"/>
  <c r="H17" i="2"/>
  <c r="H16" i="2"/>
  <c r="H15" i="2"/>
  <c r="H14" i="2"/>
  <c r="M16" i="1"/>
  <c r="N16" i="1"/>
  <c r="M42" i="1"/>
  <c r="N42" i="1"/>
  <c r="M73" i="1"/>
  <c r="N73" i="1"/>
  <c r="A11" i="2"/>
  <c r="A10" i="2"/>
  <c r="A9" i="2"/>
  <c r="N2" i="1"/>
  <c r="N3" i="1"/>
  <c r="N4" i="1"/>
  <c r="N5" i="1"/>
  <c r="N6" i="1"/>
  <c r="N7" i="1"/>
  <c r="N8" i="1"/>
  <c r="N9" i="1"/>
  <c r="N10" i="1"/>
  <c r="N11" i="1"/>
  <c r="N12" i="1"/>
  <c r="N13" i="1"/>
  <c r="N14" i="1"/>
  <c r="N15" i="1"/>
  <c r="N17" i="1"/>
  <c r="N18" i="1"/>
  <c r="N19" i="1"/>
  <c r="N20" i="1"/>
  <c r="N21" i="1"/>
  <c r="N22" i="1"/>
  <c r="N23" i="1"/>
  <c r="N24" i="1"/>
  <c r="N25" i="1"/>
  <c r="N26" i="1"/>
  <c r="N27" i="1"/>
  <c r="N28" i="1"/>
  <c r="N29" i="1"/>
  <c r="N30" i="1"/>
  <c r="N31" i="1"/>
  <c r="N32" i="1"/>
  <c r="N33" i="1"/>
  <c r="N34" i="1"/>
  <c r="N35" i="1"/>
  <c r="N36" i="1"/>
  <c r="N37" i="1"/>
  <c r="N38" i="1"/>
  <c r="N39" i="1"/>
  <c r="N40" i="1"/>
  <c r="N41"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M2" i="1"/>
  <c r="M3" i="1"/>
  <c r="M4" i="1"/>
  <c r="M5" i="1"/>
  <c r="M6" i="1"/>
  <c r="M7" i="1"/>
  <c r="M8" i="1"/>
  <c r="M9" i="1"/>
  <c r="M10" i="1"/>
  <c r="M11" i="1"/>
  <c r="M12" i="1"/>
  <c r="M13" i="1"/>
  <c r="M14" i="1"/>
  <c r="M15" i="1"/>
  <c r="M17" i="1"/>
  <c r="M18" i="1"/>
  <c r="M19" i="1"/>
  <c r="M20" i="1"/>
  <c r="M21" i="1"/>
  <c r="M22" i="1"/>
  <c r="M23" i="1"/>
  <c r="M24" i="1"/>
  <c r="M25" i="1"/>
  <c r="M26" i="1"/>
  <c r="M27" i="1"/>
  <c r="M28" i="1"/>
  <c r="M29" i="1"/>
  <c r="M30" i="1"/>
  <c r="M31" i="1"/>
  <c r="M32" i="1"/>
  <c r="M33" i="1"/>
  <c r="M34" i="1"/>
  <c r="M35" i="1"/>
  <c r="M36" i="1"/>
  <c r="M37" i="1"/>
  <c r="M38" i="1"/>
  <c r="M39" i="1"/>
  <c r="M40" i="1"/>
  <c r="M41"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J18" i="2"/>
  <c r="J17" i="2"/>
  <c r="J16" i="2"/>
  <c r="B10" i="2"/>
  <c r="B9" i="2"/>
  <c r="L15" i="2"/>
  <c r="L14" i="2"/>
  <c r="J15" i="2"/>
  <c r="J14" i="2"/>
  <c r="L18" i="2"/>
  <c r="L17" i="2"/>
  <c r="L16" i="2"/>
  <c r="L19" i="2" l="1"/>
  <c r="J19" i="2"/>
  <c r="I14" i="2"/>
  <c r="M15" i="2"/>
  <c r="I15" i="2"/>
  <c r="M14" i="2"/>
  <c r="I16" i="2"/>
  <c r="I17" i="2"/>
  <c r="I18" i="2"/>
  <c r="M18" i="2"/>
  <c r="M17" i="2"/>
  <c r="M16" i="2"/>
  <c r="B11" i="2"/>
  <c r="C9" i="2" s="1"/>
  <c r="C10" i="2" l="1"/>
</calcChain>
</file>

<file path=xl/sharedStrings.xml><?xml version="1.0" encoding="utf-8"?>
<sst xmlns="http://schemas.openxmlformats.org/spreadsheetml/2006/main" count="809" uniqueCount="267">
  <si>
    <t>Employee ID</t>
  </si>
  <si>
    <t>Full Name</t>
  </si>
  <si>
    <t>Gender</t>
  </si>
  <si>
    <t>Age</t>
  </si>
  <si>
    <t>Job</t>
  </si>
  <si>
    <t>Department</t>
  </si>
  <si>
    <t>Business</t>
  </si>
  <si>
    <t>Hire Date</t>
  </si>
  <si>
    <t>Exit Date</t>
  </si>
  <si>
    <t>Annual Salary</t>
  </si>
  <si>
    <t>Bonus</t>
  </si>
  <si>
    <t>Status</t>
  </si>
  <si>
    <t>E1001</t>
  </si>
  <si>
    <t>Arun Kumar</t>
  </si>
  <si>
    <t>Male</t>
  </si>
  <si>
    <t>Data Engineer</t>
  </si>
  <si>
    <t>IT</t>
  </si>
  <si>
    <t>Technology</t>
  </si>
  <si>
    <t>Active</t>
  </si>
  <si>
    <t>E1002</t>
  </si>
  <si>
    <t>Priya Sharma</t>
  </si>
  <si>
    <t>Female</t>
  </si>
  <si>
    <t>HR Manager</t>
  </si>
  <si>
    <t>HR</t>
  </si>
  <si>
    <t>Corporate Services</t>
  </si>
  <si>
    <t>E1003</t>
  </si>
  <si>
    <t>Rahul Menon</t>
  </si>
  <si>
    <t>Software Developer</t>
  </si>
  <si>
    <t>E1004</t>
  </si>
  <si>
    <t>Divya Iyer</t>
  </si>
  <si>
    <t>Financial Analyst</t>
  </si>
  <si>
    <t>Finance</t>
  </si>
  <si>
    <t>Banking</t>
  </si>
  <si>
    <t>Exited</t>
  </si>
  <si>
    <t>E1005</t>
  </si>
  <si>
    <t>Suresh Babu</t>
  </si>
  <si>
    <t>Project Manager</t>
  </si>
  <si>
    <t>Operations</t>
  </si>
  <si>
    <t>Consulting</t>
  </si>
  <si>
    <t>E1006</t>
  </si>
  <si>
    <t>Meena Rani</t>
  </si>
  <si>
    <t>Business Analyst</t>
  </si>
  <si>
    <t>Analytics</t>
  </si>
  <si>
    <t>E1007</t>
  </si>
  <si>
    <t>Vikram Singh</t>
  </si>
  <si>
    <t>E1008</t>
  </si>
  <si>
    <t>Anjali Verma</t>
  </si>
  <si>
    <t>E1009</t>
  </si>
  <si>
    <t>Karthik Raj</t>
  </si>
  <si>
    <t>E1010</t>
  </si>
  <si>
    <t>Nisha Thomas</t>
  </si>
  <si>
    <t>Marketing Executive</t>
  </si>
  <si>
    <t>Marketing</t>
  </si>
  <si>
    <t>Retail</t>
  </si>
  <si>
    <t>E1011</t>
  </si>
  <si>
    <t>Mohan Das</t>
  </si>
  <si>
    <t>Manufacturing</t>
  </si>
  <si>
    <t>E1012</t>
  </si>
  <si>
    <t>Swetha Krishnan</t>
  </si>
  <si>
    <t>Data Analyst</t>
  </si>
  <si>
    <t>E1013</t>
  </si>
  <si>
    <t>Ajay Patel</t>
  </si>
  <si>
    <t>E1014</t>
  </si>
  <si>
    <t>Lakshmi Devi</t>
  </si>
  <si>
    <t>E1015</t>
  </si>
  <si>
    <t>Manoj Joseph</t>
  </si>
  <si>
    <t>E1016</t>
  </si>
  <si>
    <t>Keerthana Rao</t>
  </si>
  <si>
    <t>E1017</t>
  </si>
  <si>
    <t>Ramesh Kumar</t>
  </si>
  <si>
    <t>E1018</t>
  </si>
  <si>
    <t>Neha Gupta</t>
  </si>
  <si>
    <t>Product Development</t>
  </si>
  <si>
    <t>E1019</t>
  </si>
  <si>
    <t>Sanjay Prakash</t>
  </si>
  <si>
    <t>E1020</t>
  </si>
  <si>
    <t>Harini Suresh</t>
  </si>
  <si>
    <t>Customer Services</t>
  </si>
  <si>
    <t>E1021</t>
  </si>
  <si>
    <t>Aditya Rao</t>
  </si>
  <si>
    <t>Cloud Engineer</t>
  </si>
  <si>
    <t>E1022</t>
  </si>
  <si>
    <t>Ananya Das</t>
  </si>
  <si>
    <t>E1023</t>
  </si>
  <si>
    <t>Rohit Nair</t>
  </si>
  <si>
    <t>E1024</t>
  </si>
  <si>
    <t>Kavya Reddy</t>
  </si>
  <si>
    <t>E1025</t>
  </si>
  <si>
    <t>Prakash Menon</t>
  </si>
  <si>
    <t>E1026</t>
  </si>
  <si>
    <t>Sneha Kapoor</t>
  </si>
  <si>
    <t>E1027</t>
  </si>
  <si>
    <t>Vishal Gupta</t>
  </si>
  <si>
    <t>E1028</t>
  </si>
  <si>
    <t>Deepa Nair</t>
  </si>
  <si>
    <t>E1029</t>
  </si>
  <si>
    <t>Manish Shah</t>
  </si>
  <si>
    <t>E1030</t>
  </si>
  <si>
    <t>Shalini Bose</t>
  </si>
  <si>
    <t>E1031</t>
  </si>
  <si>
    <t>Harish Iyer</t>
  </si>
  <si>
    <t>E1032</t>
  </si>
  <si>
    <t>Pooja Singh</t>
  </si>
  <si>
    <t>E1033</t>
  </si>
  <si>
    <t>Abhishek Jain</t>
  </si>
  <si>
    <t>E1034</t>
  </si>
  <si>
    <t>Swati Mishra</t>
  </si>
  <si>
    <t>E1035</t>
  </si>
  <si>
    <t>Sunil Kumar</t>
  </si>
  <si>
    <t>E1036</t>
  </si>
  <si>
    <t>Rekha Paul</t>
  </si>
  <si>
    <t>E1037</t>
  </si>
  <si>
    <t>Naveen Reddy</t>
  </si>
  <si>
    <t>E1038</t>
  </si>
  <si>
    <t>Chitra Ravi</t>
  </si>
  <si>
    <t>E1039</t>
  </si>
  <si>
    <t>Sameer Khan</t>
  </si>
  <si>
    <t>E1040</t>
  </si>
  <si>
    <t>Madhuri Rao</t>
  </si>
  <si>
    <t>E1041</t>
  </si>
  <si>
    <t>Arvind Raj</t>
  </si>
  <si>
    <t>E1042</t>
  </si>
  <si>
    <t>Monika Sethi</t>
  </si>
  <si>
    <t>E1043</t>
  </si>
  <si>
    <t>Surya Prakash</t>
  </si>
  <si>
    <t>E1044</t>
  </si>
  <si>
    <t>Preethi Kumar</t>
  </si>
  <si>
    <t>E1045</t>
  </si>
  <si>
    <t>Imran Ali</t>
  </si>
  <si>
    <t>E1046</t>
  </si>
  <si>
    <t>Geetha Mani</t>
  </si>
  <si>
    <t>E1047</t>
  </si>
  <si>
    <t>Krishna Murthy</t>
  </si>
  <si>
    <t>E1048</t>
  </si>
  <si>
    <t>Swetha Reddy</t>
  </si>
  <si>
    <t>E1049</t>
  </si>
  <si>
    <t>Joseph Antony</t>
  </si>
  <si>
    <t>E1050</t>
  </si>
  <si>
    <t>Divya Menon</t>
  </si>
  <si>
    <t>E1051</t>
  </si>
  <si>
    <t>Anil Kumar</t>
  </si>
  <si>
    <t>E1052</t>
  </si>
  <si>
    <t>Ritu Sharma</t>
  </si>
  <si>
    <t>E1053</t>
  </si>
  <si>
    <t>Venkat Rao</t>
  </si>
  <si>
    <t>E1054</t>
  </si>
  <si>
    <t>Asha Devi</t>
  </si>
  <si>
    <t>E1055</t>
  </si>
  <si>
    <t>Rajesh Nair</t>
  </si>
  <si>
    <t>E1056</t>
  </si>
  <si>
    <t>Simran Kaur</t>
  </si>
  <si>
    <t>E1057</t>
  </si>
  <si>
    <t>Girish Babu</t>
  </si>
  <si>
    <t>E1058</t>
  </si>
  <si>
    <t>Farah Khan</t>
  </si>
  <si>
    <t>E1059</t>
  </si>
  <si>
    <t>Balaji Suresh</t>
  </si>
  <si>
    <t>E1060</t>
  </si>
  <si>
    <t>Uma Krishnan</t>
  </si>
  <si>
    <t>E1061</t>
  </si>
  <si>
    <t>Shyam Sundar</t>
  </si>
  <si>
    <t>E1062</t>
  </si>
  <si>
    <t>Amrita Roy</t>
  </si>
  <si>
    <t>E1063</t>
  </si>
  <si>
    <t>Dinesh Patel</t>
  </si>
  <si>
    <t>E1064</t>
  </si>
  <si>
    <t>Swathi Rao</t>
  </si>
  <si>
    <t>E1065</t>
  </si>
  <si>
    <t>Faizan Ahmed</t>
  </si>
  <si>
    <t>E1066</t>
  </si>
  <si>
    <t>Radha Iyer</t>
  </si>
  <si>
    <t>E1067</t>
  </si>
  <si>
    <t>Suraj Singh</t>
  </si>
  <si>
    <t>E1068</t>
  </si>
  <si>
    <t>Shreya Das</t>
  </si>
  <si>
    <t>E1069</t>
  </si>
  <si>
    <t>Manoj Nair</t>
  </si>
  <si>
    <t>E1070</t>
  </si>
  <si>
    <t>Neha Rani</t>
  </si>
  <si>
    <t>E1071</t>
  </si>
  <si>
    <t>Praveen Kumar</t>
  </si>
  <si>
    <t>E1072</t>
  </si>
  <si>
    <t>Megha Jain</t>
  </si>
  <si>
    <t>E1073</t>
  </si>
  <si>
    <t>Ajith Menon</t>
  </si>
  <si>
    <t>E1074</t>
  </si>
  <si>
    <t>Swetha Paul</t>
  </si>
  <si>
    <t>E1075</t>
  </si>
  <si>
    <t>Naresh Reddy</t>
  </si>
  <si>
    <t>E1076</t>
  </si>
  <si>
    <t>Anu Thomas</t>
  </si>
  <si>
    <t>E1077</t>
  </si>
  <si>
    <t>Ravi Shankar</t>
  </si>
  <si>
    <t>E1078</t>
  </si>
  <si>
    <t>Priya Menon</t>
  </si>
  <si>
    <t>E1079</t>
  </si>
  <si>
    <t>Kiran Shah</t>
  </si>
  <si>
    <t>E1080</t>
  </si>
  <si>
    <t>Divya Rao</t>
  </si>
  <si>
    <t>E1081</t>
  </si>
  <si>
    <t>Sanjay Kumar</t>
  </si>
  <si>
    <t>E1082</t>
  </si>
  <si>
    <t>Latha Devi</t>
  </si>
  <si>
    <t>E1083</t>
  </si>
  <si>
    <t>Abhishek Rao</t>
  </si>
  <si>
    <t>E1084</t>
  </si>
  <si>
    <t>Nandini Gupta</t>
  </si>
  <si>
    <t>E1085</t>
  </si>
  <si>
    <t>Thomas George</t>
  </si>
  <si>
    <t>E1086</t>
  </si>
  <si>
    <t>Harini Das</t>
  </si>
  <si>
    <t>E1087</t>
  </si>
  <si>
    <t>Manoj Singh</t>
  </si>
  <si>
    <t>E1088</t>
  </si>
  <si>
    <t>Roshni Kapoor</t>
  </si>
  <si>
    <t>E1089</t>
  </si>
  <si>
    <t>Pradeep Nair</t>
  </si>
  <si>
    <t>E1090</t>
  </si>
  <si>
    <t>Keerthi Raj</t>
  </si>
  <si>
    <t>E1091</t>
  </si>
  <si>
    <t>Anand Babu</t>
  </si>
  <si>
    <t>E1092</t>
  </si>
  <si>
    <t>Meena Sharma</t>
  </si>
  <si>
    <t>E1093</t>
  </si>
  <si>
    <t>Surendra Kumar</t>
  </si>
  <si>
    <t>E1094</t>
  </si>
  <si>
    <t>Anjali Menon</t>
  </si>
  <si>
    <t>E1095</t>
  </si>
  <si>
    <t>Varun Patel</t>
  </si>
  <si>
    <t>E1096</t>
  </si>
  <si>
    <t>Sonia Roy</t>
  </si>
  <si>
    <t>E1097</t>
  </si>
  <si>
    <t>Ramesh Shah</t>
  </si>
  <si>
    <t>E1098</t>
  </si>
  <si>
    <t>Pallavi Rao</t>
  </si>
  <si>
    <t>E1099</t>
  </si>
  <si>
    <t>Chandran Iyer</t>
  </si>
  <si>
    <t>E1100</t>
  </si>
  <si>
    <t>Sangeetha Kumar</t>
  </si>
  <si>
    <t>Year</t>
  </si>
  <si>
    <t>Age Group</t>
  </si>
  <si>
    <t>Row Labels</t>
  </si>
  <si>
    <t>Grand Total</t>
  </si>
  <si>
    <t>Count of Employee ID</t>
  </si>
  <si>
    <t>Active VS Inactive Employees</t>
  </si>
  <si>
    <t>Top 10 Paid employees</t>
  </si>
  <si>
    <t>26-30</t>
  </si>
  <si>
    <t>31-35</t>
  </si>
  <si>
    <t>36-40</t>
  </si>
  <si>
    <t>41-45</t>
  </si>
  <si>
    <t>46-50</t>
  </si>
  <si>
    <t>Column Labels</t>
  </si>
  <si>
    <t>Employees Age Distribution</t>
  </si>
  <si>
    <t>X</t>
  </si>
  <si>
    <t>Center</t>
  </si>
  <si>
    <t>Y</t>
  </si>
  <si>
    <t>Employees count by department</t>
  </si>
  <si>
    <t>No of years of experience</t>
  </si>
  <si>
    <t>Average of Year</t>
  </si>
  <si>
    <t>Count of Exit Date</t>
  </si>
  <si>
    <t>Exit count age group by gender</t>
  </si>
  <si>
    <t>Exit count department by gender</t>
  </si>
  <si>
    <t>Count of Emp</t>
  </si>
  <si>
    <t>Sum of Annual</t>
  </si>
  <si>
    <t>Count</t>
  </si>
  <si>
    <t>Database Admin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</si>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</sst>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4009]\ * #,##0_ ;_ [$₹-4009]\ * \-#,##0_ ;_ [$₹-4009]\ * &quot;-&quot;??_ ;_ @_ "/>
  </numFmts>
  <fonts count="3" x14ac:knownFonts="1">
    <font>
      <sz val="11"/>
      <color theme="1"/>
      <name val="Calibri"/>
      <family val="2"/>
      <scheme val="minor"/>
    </font>
    <font>
      <sz val="11"/>
      <color theme="1"/>
      <name val="Calibri"/>
      <family val="2"/>
      <scheme val="minor"/>
    </font>
    <font>
      <b/>
      <sz val="11"/>
      <color rgb="FFFF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9" fontId="0" fillId="0" borderId="0" xfId="1" applyFont="1"/>
    <xf numFmtId="164" fontId="0" fillId="0" borderId="0" xfId="0" applyNumberFormat="1"/>
    <xf numFmtId="0" fontId="2" fillId="0" borderId="0" xfId="0" applyFont="1"/>
    <xf numFmtId="2" fontId="0" fillId="0" borderId="0" xfId="0" applyNumberFormat="1"/>
    <xf numFmtId="1" fontId="0" fillId="0" borderId="0" xfId="0" applyNumberFormat="1"/>
    <xf numFmtId="0" fontId="0" fillId="0" borderId="0" xfId="0" applyAlignment="1">
      <alignment wrapText="1"/>
    </xf>
    <xf numFmtId="0" fontId="0" fillId="0" borderId="0" xfId="0" applyNumberFormat="1"/>
    <xf numFmtId="1" fontId="0" fillId="0" borderId="0" xfId="0" applyNumberFormat="1" applyAlignment="1"/>
    <xf numFmtId="0" fontId="0" fillId="0" borderId="0" xfId="0" pivotButton="1" applyAlignment="1"/>
    <xf numFmtId="0" fontId="0" fillId="0" borderId="0" xfId="0" applyAlignment="1"/>
  </cellXfs>
  <cellStyles count="2">
    <cellStyle name="Normal" xfId="0" builtinId="0"/>
    <cellStyle name="Percent" xfId="1" builtinId="5"/>
  </cellStyles>
  <dxfs count="295">
    <dxf>
      <numFmt numFmtId="1" formatCode="0"/>
    </dxf>
    <dxf>
      <alignment wrapText="1"/>
    </dxf>
    <dxf>
      <alignment wrapText="1"/>
    </dxf>
    <dxf>
      <numFmt numFmtId="1" formatCode="0"/>
    </dxf>
    <dxf>
      <alignment wrapText="0"/>
    </dxf>
    <dxf>
      <alignment wrapText="0"/>
    </dxf>
    <dxf>
      <alignment wrapText="0"/>
    </dxf>
    <dxf>
      <alignment wrapText="0"/>
    </dxf>
    <dxf>
      <alignment wrapText="0"/>
    </dxf>
    <dxf>
      <alignment wrapText="0"/>
    </dxf>
    <dxf>
      <alignment textRotation="0"/>
    </dxf>
    <dxf>
      <numFmt numFmtId="2" formatCode="0.00"/>
    </dxf>
    <dxf>
      <alignment wrapText="1"/>
    </dxf>
    <dxf>
      <alignment wrapText="1"/>
    </dxf>
    <dxf>
      <alignment wrapText="1"/>
    </dxf>
    <dxf>
      <numFmt numFmtId="164" formatCode="_ [$₹-4009]\ * #,##0_ ;_ [$₹-4009]\ * \-#,##0_ ;_ [$₹-4009]\ * &quot;-&quot;??_ ;_ @_ "/>
    </dxf>
    <dxf>
      <numFmt numFmtId="1" formatCode="0"/>
    </dxf>
    <dxf>
      <alignment wrapText="1"/>
    </dxf>
    <dxf>
      <alignment wrapText="1"/>
    </dxf>
    <dxf>
      <numFmt numFmtId="1" formatCode="0"/>
    </dxf>
    <dxf>
      <alignment wrapText="0"/>
    </dxf>
    <dxf>
      <alignment wrapText="0"/>
    </dxf>
    <dxf>
      <alignment wrapText="0"/>
    </dxf>
    <dxf>
      <alignment wrapText="0"/>
    </dxf>
    <dxf>
      <alignment wrapText="0"/>
    </dxf>
    <dxf>
      <alignment wrapText="0"/>
    </dxf>
    <dxf>
      <alignment textRotation="0"/>
    </dxf>
    <dxf>
      <numFmt numFmtId="2" formatCode="0.00"/>
    </dxf>
    <dxf>
      <alignment wrapText="1"/>
    </dxf>
    <dxf>
      <alignment wrapText="1"/>
    </dxf>
    <dxf>
      <alignment wrapText="1"/>
    </dxf>
    <dxf>
      <numFmt numFmtId="164" formatCode="_ [$₹-4009]\ * #,##0_ ;_ [$₹-4009]\ * \-#,##0_ ;_ [$₹-4009]\ * &quot;-&quot;??_ ;_ @_ "/>
    </dxf>
    <dxf>
      <numFmt numFmtId="1" formatCode="0"/>
    </dxf>
    <dxf>
      <alignment wrapText="1"/>
    </dxf>
    <dxf>
      <alignment wrapText="1"/>
    </dxf>
    <dxf>
      <numFmt numFmtId="1" formatCode="0"/>
    </dxf>
    <dxf>
      <alignment wrapText="0"/>
    </dxf>
    <dxf>
      <alignment wrapText="0"/>
    </dxf>
    <dxf>
      <alignment wrapText="0"/>
    </dxf>
    <dxf>
      <alignment wrapText="0"/>
    </dxf>
    <dxf>
      <alignment wrapText="0"/>
    </dxf>
    <dxf>
      <alignment wrapText="0"/>
    </dxf>
    <dxf>
      <alignment textRotation="0"/>
    </dxf>
    <dxf>
      <numFmt numFmtId="2" formatCode="0.00"/>
    </dxf>
    <dxf>
      <alignment wrapText="1"/>
    </dxf>
    <dxf>
      <alignment wrapText="1"/>
    </dxf>
    <dxf>
      <alignment wrapText="1"/>
    </dxf>
    <dxf>
      <numFmt numFmtId="164" formatCode="_ [$₹-4009]\ * #,##0_ ;_ [$₹-4009]\ * \-#,##0_ ;_ [$₹-4009]\ * &quot;-&quot;??_ ;_ @_ "/>
    </dxf>
    <dxf>
      <numFmt numFmtId="1" formatCode="0"/>
    </dxf>
    <dxf>
      <alignment wrapText="1"/>
    </dxf>
    <dxf>
      <alignment wrapText="1"/>
    </dxf>
    <dxf>
      <numFmt numFmtId="1" formatCode="0"/>
    </dxf>
    <dxf>
      <alignment wrapText="0"/>
    </dxf>
    <dxf>
      <alignment wrapText="0"/>
    </dxf>
    <dxf>
      <alignment wrapText="0"/>
    </dxf>
    <dxf>
      <alignment wrapText="0"/>
    </dxf>
    <dxf>
      <alignment wrapText="0"/>
    </dxf>
    <dxf>
      <alignment wrapText="0"/>
    </dxf>
    <dxf>
      <alignment textRotation="0"/>
    </dxf>
    <dxf>
      <numFmt numFmtId="2" formatCode="0.00"/>
    </dxf>
    <dxf>
      <alignment wrapText="1"/>
    </dxf>
    <dxf>
      <alignment wrapText="1"/>
    </dxf>
    <dxf>
      <alignment wrapText="1"/>
    </dxf>
    <dxf>
      <numFmt numFmtId="164" formatCode="_ [$₹-4009]\ * #,##0_ ;_ [$₹-4009]\ * \-#,##0_ ;_ [$₹-4009]\ * &quot;-&quot;??_ ;_ @_ "/>
    </dxf>
    <dxf>
      <numFmt numFmtId="1" formatCode="0"/>
    </dxf>
    <dxf>
      <alignment wrapText="1"/>
    </dxf>
    <dxf>
      <alignment wrapText="1"/>
    </dxf>
    <dxf>
      <numFmt numFmtId="1" formatCode="0"/>
    </dxf>
    <dxf>
      <alignment wrapText="0"/>
    </dxf>
    <dxf>
      <alignment wrapText="0"/>
    </dxf>
    <dxf>
      <alignment wrapText="0"/>
    </dxf>
    <dxf>
      <alignment wrapText="0"/>
    </dxf>
    <dxf>
      <alignment wrapText="0"/>
    </dxf>
    <dxf>
      <alignment wrapText="0"/>
    </dxf>
    <dxf>
      <alignment textRotation="0"/>
    </dxf>
    <dxf>
      <numFmt numFmtId="2" formatCode="0.00"/>
    </dxf>
    <dxf>
      <alignment wrapText="1"/>
    </dxf>
    <dxf>
      <alignment wrapText="1"/>
    </dxf>
    <dxf>
      <alignment wrapText="1"/>
    </dxf>
    <dxf>
      <numFmt numFmtId="164" formatCode="_ [$₹-4009]\ * #,##0_ ;_ [$₹-4009]\ * \-#,##0_ ;_ [$₹-4009]\ * &quot;-&quot;??_ ;_ @_ "/>
    </dxf>
    <dxf>
      <numFmt numFmtId="1" formatCode="0"/>
    </dxf>
    <dxf>
      <alignment wrapText="1"/>
    </dxf>
    <dxf>
      <alignment wrapText="1"/>
    </dxf>
    <dxf>
      <numFmt numFmtId="1" formatCode="0"/>
    </dxf>
    <dxf>
      <alignment wrapText="0"/>
    </dxf>
    <dxf>
      <alignment wrapText="0"/>
    </dxf>
    <dxf>
      <alignment wrapText="0"/>
    </dxf>
    <dxf>
      <alignment wrapText="0"/>
    </dxf>
    <dxf>
      <alignment wrapText="0"/>
    </dxf>
    <dxf>
      <alignment wrapText="0"/>
    </dxf>
    <dxf>
      <alignment textRotation="0"/>
    </dxf>
    <dxf>
      <numFmt numFmtId="2" formatCode="0.00"/>
    </dxf>
    <dxf>
      <alignment wrapText="1"/>
    </dxf>
    <dxf>
      <alignment wrapText="1"/>
    </dxf>
    <dxf>
      <alignment wrapText="1"/>
    </dxf>
    <dxf>
      <numFmt numFmtId="164" formatCode="_ [$₹-4009]\ * #,##0_ ;_ [$₹-4009]\ * \-#,##0_ ;_ [$₹-4009]\ * &quot;-&quot;??_ ;_ @_ "/>
    </dxf>
    <dxf>
      <numFmt numFmtId="1" formatCode="0"/>
    </dxf>
    <dxf>
      <alignment wrapText="1"/>
    </dxf>
    <dxf>
      <alignment wrapText="1"/>
    </dxf>
    <dxf>
      <numFmt numFmtId="1" formatCode="0"/>
    </dxf>
    <dxf>
      <alignment wrapText="0"/>
    </dxf>
    <dxf>
      <alignment wrapText="0"/>
    </dxf>
    <dxf>
      <alignment wrapText="0"/>
    </dxf>
    <dxf>
      <alignment wrapText="0"/>
    </dxf>
    <dxf>
      <alignment wrapText="0"/>
    </dxf>
    <dxf>
      <alignment wrapText="0"/>
    </dxf>
    <dxf>
      <alignment textRotation="0"/>
    </dxf>
    <dxf>
      <numFmt numFmtId="2" formatCode="0.00"/>
    </dxf>
    <dxf>
      <alignment wrapText="1"/>
    </dxf>
    <dxf>
      <alignment wrapText="1"/>
    </dxf>
    <dxf>
      <alignment wrapText="1"/>
    </dxf>
    <dxf>
      <numFmt numFmtId="164" formatCode="_ [$₹-4009]\ * #,##0_ ;_ [$₹-4009]\ * \-#,##0_ ;_ [$₹-4009]\ * &quot;-&quot;??_ ;_ @_ "/>
    </dxf>
    <dxf>
      <numFmt numFmtId="1" formatCode="0"/>
    </dxf>
    <dxf>
      <alignment wrapText="1"/>
    </dxf>
    <dxf>
      <alignment wrapText="1"/>
    </dxf>
    <dxf>
      <numFmt numFmtId="1" formatCode="0"/>
    </dxf>
    <dxf>
      <alignment wrapText="0"/>
    </dxf>
    <dxf>
      <alignment wrapText="0"/>
    </dxf>
    <dxf>
      <alignment wrapText="0"/>
    </dxf>
    <dxf>
      <alignment wrapText="0"/>
    </dxf>
    <dxf>
      <alignment wrapText="0"/>
    </dxf>
    <dxf>
      <alignment wrapText="0"/>
    </dxf>
    <dxf>
      <alignment textRotation="0"/>
    </dxf>
    <dxf>
      <numFmt numFmtId="2" formatCode="0.00"/>
    </dxf>
    <dxf>
      <alignment wrapText="1"/>
    </dxf>
    <dxf>
      <alignment wrapText="1"/>
    </dxf>
    <dxf>
      <alignment wrapText="1"/>
    </dxf>
    <dxf>
      <numFmt numFmtId="164" formatCode="_ [$₹-4009]\ * #,##0_ ;_ [$₹-4009]\ * \-#,##0_ ;_ [$₹-4009]\ * &quot;-&quot;??_ ;_ @_ "/>
    </dxf>
    <dxf>
      <numFmt numFmtId="1" formatCode="0"/>
    </dxf>
    <dxf>
      <alignment wrapText="1"/>
    </dxf>
    <dxf>
      <alignment wrapText="1"/>
    </dxf>
    <dxf>
      <numFmt numFmtId="1" formatCode="0"/>
    </dxf>
    <dxf>
      <alignment wrapText="0"/>
    </dxf>
    <dxf>
      <alignment wrapText="0"/>
    </dxf>
    <dxf>
      <alignment wrapText="0"/>
    </dxf>
    <dxf>
      <alignment wrapText="0"/>
    </dxf>
    <dxf>
      <alignment wrapText="0"/>
    </dxf>
    <dxf>
      <alignment wrapText="0"/>
    </dxf>
    <dxf>
      <alignment textRotation="0"/>
    </dxf>
    <dxf>
      <numFmt numFmtId="2" formatCode="0.00"/>
    </dxf>
    <dxf>
      <alignment wrapText="1"/>
    </dxf>
    <dxf>
      <alignment wrapText="1"/>
    </dxf>
    <dxf>
      <alignment wrapText="1"/>
    </dxf>
    <dxf>
      <numFmt numFmtId="164" formatCode="_ [$₹-4009]\ * #,##0_ ;_ [$₹-4009]\ * \-#,##0_ ;_ [$₹-4009]\ * &quot;-&quot;??_ ;_ @_ "/>
    </dxf>
    <dxf>
      <numFmt numFmtId="1" formatCode="0"/>
    </dxf>
    <dxf>
      <alignment wrapText="1"/>
    </dxf>
    <dxf>
      <alignment wrapText="1"/>
    </dxf>
    <dxf>
      <numFmt numFmtId="1" formatCode="0"/>
    </dxf>
    <dxf>
      <alignment wrapText="0"/>
    </dxf>
    <dxf>
      <alignment wrapText="0"/>
    </dxf>
    <dxf>
      <alignment wrapText="0"/>
    </dxf>
    <dxf>
      <alignment wrapText="0"/>
    </dxf>
    <dxf>
      <alignment wrapText="0"/>
    </dxf>
    <dxf>
      <alignment wrapText="0"/>
    </dxf>
    <dxf>
      <alignment textRotation="0"/>
    </dxf>
    <dxf>
      <numFmt numFmtId="2" formatCode="0.00"/>
    </dxf>
    <dxf>
      <alignment wrapText="1"/>
    </dxf>
    <dxf>
      <alignment wrapText="1"/>
    </dxf>
    <dxf>
      <alignment wrapText="1"/>
    </dxf>
    <dxf>
      <numFmt numFmtId="164" formatCode="_ [$₹-4009]\ * #,##0_ ;_ [$₹-4009]\ * \-#,##0_ ;_ [$₹-4009]\ * &quot;-&quot;??_ ;_ @_ "/>
    </dxf>
    <dxf>
      <numFmt numFmtId="1" formatCode="0"/>
    </dxf>
    <dxf>
      <alignment wrapText="1"/>
    </dxf>
    <dxf>
      <alignment wrapText="1"/>
    </dxf>
    <dxf>
      <numFmt numFmtId="1" formatCode="0"/>
    </dxf>
    <dxf>
      <alignment wrapText="0"/>
    </dxf>
    <dxf>
      <alignment wrapText="0"/>
    </dxf>
    <dxf>
      <alignment wrapText="0"/>
    </dxf>
    <dxf>
      <alignment wrapText="0"/>
    </dxf>
    <dxf>
      <alignment wrapText="0"/>
    </dxf>
    <dxf>
      <alignment wrapText="0"/>
    </dxf>
    <dxf>
      <alignment textRotation="0"/>
    </dxf>
    <dxf>
      <numFmt numFmtId="2" formatCode="0.00"/>
    </dxf>
    <dxf>
      <alignment wrapText="1"/>
    </dxf>
    <dxf>
      <alignment wrapText="1"/>
    </dxf>
    <dxf>
      <alignment wrapText="1"/>
    </dxf>
    <dxf>
      <numFmt numFmtId="164" formatCode="_ [$₹-4009]\ * #,##0_ ;_ [$₹-4009]\ * \-#,##0_ ;_ [$₹-4009]\ * &quot;-&quot;??_ ;_ @_ "/>
    </dxf>
    <dxf>
      <numFmt numFmtId="1" formatCode="0"/>
    </dxf>
    <dxf>
      <alignment wrapText="1"/>
    </dxf>
    <dxf>
      <alignment wrapText="1"/>
    </dxf>
    <dxf>
      <numFmt numFmtId="1" formatCode="0"/>
    </dxf>
    <dxf>
      <alignment wrapText="0"/>
    </dxf>
    <dxf>
      <alignment wrapText="0"/>
    </dxf>
    <dxf>
      <alignment wrapText="0"/>
    </dxf>
    <dxf>
      <alignment wrapText="0"/>
    </dxf>
    <dxf>
      <alignment wrapText="0"/>
    </dxf>
    <dxf>
      <alignment wrapText="0"/>
    </dxf>
    <dxf>
      <alignment textRotation="0"/>
    </dxf>
    <dxf>
      <numFmt numFmtId="2" formatCode="0.00"/>
    </dxf>
    <dxf>
      <alignment wrapText="1"/>
    </dxf>
    <dxf>
      <alignment wrapText="1"/>
    </dxf>
    <dxf>
      <alignment wrapText="1"/>
    </dxf>
    <dxf>
      <numFmt numFmtId="164" formatCode="_ [$₹-4009]\ * #,##0_ ;_ [$₹-4009]\ * \-#,##0_ ;_ [$₹-4009]\ * &quot;-&quot;??_ ;_ @_ "/>
    </dxf>
    <dxf>
      <numFmt numFmtId="1" formatCode="0"/>
    </dxf>
    <dxf>
      <alignment wrapText="1"/>
    </dxf>
    <dxf>
      <alignment wrapText="1"/>
    </dxf>
    <dxf>
      <numFmt numFmtId="1" formatCode="0"/>
    </dxf>
    <dxf>
      <alignment wrapText="0"/>
    </dxf>
    <dxf>
      <alignment wrapText="0"/>
    </dxf>
    <dxf>
      <alignment wrapText="0"/>
    </dxf>
    <dxf>
      <alignment wrapText="0"/>
    </dxf>
    <dxf>
      <alignment wrapText="0"/>
    </dxf>
    <dxf>
      <alignment wrapText="0"/>
    </dxf>
    <dxf>
      <alignment textRotation="0"/>
    </dxf>
    <dxf>
      <numFmt numFmtId="2" formatCode="0.00"/>
    </dxf>
    <dxf>
      <alignment wrapText="1"/>
    </dxf>
    <dxf>
      <alignment wrapText="1"/>
    </dxf>
    <dxf>
      <alignment wrapText="1"/>
    </dxf>
    <dxf>
      <numFmt numFmtId="164" formatCode="_ [$₹-4009]\ * #,##0_ ;_ [$₹-4009]\ * \-#,##0_ ;_ [$₹-4009]\ * &quot;-&quot;??_ ;_ @_ "/>
    </dxf>
    <dxf>
      <numFmt numFmtId="1" formatCode="0"/>
    </dxf>
    <dxf>
      <alignment wrapText="1"/>
    </dxf>
    <dxf>
      <alignment wrapText="1"/>
    </dxf>
    <dxf>
      <numFmt numFmtId="1" formatCode="0"/>
    </dxf>
    <dxf>
      <alignment wrapText="0"/>
    </dxf>
    <dxf>
      <alignment wrapText="0"/>
    </dxf>
    <dxf>
      <alignment wrapText="0"/>
    </dxf>
    <dxf>
      <alignment wrapText="0"/>
    </dxf>
    <dxf>
      <alignment wrapText="0"/>
    </dxf>
    <dxf>
      <alignment wrapText="0"/>
    </dxf>
    <dxf>
      <alignment textRotation="0"/>
    </dxf>
    <dxf>
      <numFmt numFmtId="2" formatCode="0.00"/>
    </dxf>
    <dxf>
      <alignment wrapText="1"/>
    </dxf>
    <dxf>
      <alignment wrapText="1"/>
    </dxf>
    <dxf>
      <alignment wrapText="1"/>
    </dxf>
    <dxf>
      <numFmt numFmtId="164" formatCode="_ [$₹-4009]\ * #,##0_ ;_ [$₹-4009]\ * \-#,##0_ ;_ [$₹-4009]\ * &quot;-&quot;??_ ;_ @_ "/>
    </dxf>
    <dxf>
      <numFmt numFmtId="1" formatCode="0"/>
    </dxf>
    <dxf>
      <alignment wrapText="1"/>
    </dxf>
    <dxf>
      <alignment wrapText="1"/>
    </dxf>
    <dxf>
      <numFmt numFmtId="1" formatCode="0"/>
    </dxf>
    <dxf>
      <alignment wrapText="0"/>
    </dxf>
    <dxf>
      <alignment wrapText="0"/>
    </dxf>
    <dxf>
      <alignment wrapText="0"/>
    </dxf>
    <dxf>
      <alignment wrapText="0"/>
    </dxf>
    <dxf>
      <alignment wrapText="0"/>
    </dxf>
    <dxf>
      <alignment wrapText="0"/>
    </dxf>
    <dxf>
      <alignment textRotation="0"/>
    </dxf>
    <dxf>
      <numFmt numFmtId="2" formatCode="0.00"/>
    </dxf>
    <dxf>
      <alignment wrapText="1"/>
    </dxf>
    <dxf>
      <alignment wrapText="1"/>
    </dxf>
    <dxf>
      <alignment wrapText="1"/>
    </dxf>
    <dxf>
      <numFmt numFmtId="164" formatCode="_ [$₹-4009]\ * #,##0_ ;_ [$₹-4009]\ * \-#,##0_ ;_ [$₹-4009]\ * &quot;-&quot;??_ ;_ @_ "/>
    </dxf>
    <dxf>
      <numFmt numFmtId="1" formatCode="0"/>
    </dxf>
    <dxf>
      <alignment wrapText="1"/>
    </dxf>
    <dxf>
      <alignment wrapText="1"/>
    </dxf>
    <dxf>
      <numFmt numFmtId="1" formatCode="0"/>
    </dxf>
    <dxf>
      <alignment wrapText="0"/>
    </dxf>
    <dxf>
      <alignment wrapText="0"/>
    </dxf>
    <dxf>
      <alignment wrapText="0"/>
    </dxf>
    <dxf>
      <alignment wrapText="0"/>
    </dxf>
    <dxf>
      <alignment wrapText="0"/>
    </dxf>
    <dxf>
      <alignment wrapText="0"/>
    </dxf>
    <dxf>
      <alignment textRotation="0"/>
    </dxf>
    <dxf>
      <numFmt numFmtId="2" formatCode="0.00"/>
    </dxf>
    <dxf>
      <alignment wrapText="1"/>
    </dxf>
    <dxf>
      <alignment wrapText="1"/>
    </dxf>
    <dxf>
      <alignment wrapText="1"/>
    </dxf>
    <dxf>
      <numFmt numFmtId="164" formatCode="_ [$₹-4009]\ * #,##0_ ;_ [$₹-4009]\ * \-#,##0_ ;_ [$₹-4009]\ * &quot;-&quot;??_ ;_ @_ "/>
    </dxf>
    <dxf>
      <numFmt numFmtId="1" formatCode="0"/>
    </dxf>
    <dxf>
      <alignment wrapText="1"/>
    </dxf>
    <dxf>
      <alignment wrapText="1"/>
    </dxf>
    <dxf>
      <numFmt numFmtId="1" formatCode="0"/>
    </dxf>
    <dxf>
      <alignment wrapText="0"/>
    </dxf>
    <dxf>
      <alignment wrapText="0"/>
    </dxf>
    <dxf>
      <alignment wrapText="0"/>
    </dxf>
    <dxf>
      <alignment wrapText="0"/>
    </dxf>
    <dxf>
      <alignment wrapText="0"/>
    </dxf>
    <dxf>
      <alignment wrapText="0"/>
    </dxf>
    <dxf>
      <alignment textRotation="0"/>
    </dxf>
    <dxf>
      <numFmt numFmtId="2" formatCode="0.00"/>
    </dxf>
    <dxf>
      <alignment wrapText="1"/>
    </dxf>
    <dxf>
      <alignment wrapText="1"/>
    </dxf>
    <dxf>
      <alignment wrapText="1"/>
    </dxf>
    <dxf>
      <numFmt numFmtId="164" formatCode="_ [$₹-4009]\ * #,##0_ ;_ [$₹-4009]\ * \-#,##0_ ;_ [$₹-4009]\ * &quot;-&quot;??_ ;_ @_ "/>
    </dxf>
    <dxf>
      <numFmt numFmtId="0" formatCode="General"/>
    </dxf>
    <dxf>
      <numFmt numFmtId="0" formatCode="General"/>
    </dxf>
    <dxf>
      <numFmt numFmtId="19" formatCode="dd/mm/yyyy"/>
    </dxf>
    <dxf>
      <alignment wrapText="1"/>
    </dxf>
    <dxf>
      <alignment wrapText="1"/>
    </dxf>
    <dxf>
      <numFmt numFmtId="1" formatCode="0"/>
    </dxf>
    <dxf>
      <alignment textRotation="0"/>
    </dxf>
    <dxf>
      <alignment wrapText="0"/>
    </dxf>
    <dxf>
      <alignment wrapText="0"/>
    </dxf>
    <dxf>
      <alignment wrapText="0"/>
    </dxf>
    <dxf>
      <alignment wrapText="0"/>
    </dxf>
    <dxf>
      <alignment wrapText="0"/>
    </dxf>
    <dxf>
      <alignment wrapText="0"/>
    </dxf>
    <dxf>
      <numFmt numFmtId="1" formatCode="0"/>
    </dxf>
    <dxf>
      <alignment wrapText="1"/>
    </dxf>
    <dxf>
      <numFmt numFmtId="2" formatCode="0.00"/>
    </dxf>
    <dxf>
      <alignment wrapText="1"/>
    </dxf>
    <dxf>
      <alignment wrapText="1"/>
    </dxf>
    <dxf>
      <numFmt numFmtId="164" formatCode="_ [$₹-4009]\ * #,##0_ ;_ [$₹-4009]\ * \-#,##0_ ;_ [$₹-4009]\ * &quot;-&quot;??_ ;_ @_ "/>
    </dxf>
    <dxf>
      <font>
        <b/>
        <color theme="1"/>
      </font>
      <border>
        <bottom style="thin">
          <color theme="7"/>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fill>
        <patternFill patternType="none">
          <bgColor auto="1"/>
        </patternFill>
      </fill>
      <border>
        <left/>
        <right/>
        <top/>
        <bottom/>
        <vertical/>
        <horizontal/>
      </border>
    </dxf>
  </dxfs>
  <tableStyles count="2" defaultTableStyle="TableStyleMedium2" defaultPivotStyle="PivotStyleLight16">
    <tableStyle name="SlicerStyleLight1 2" pivot="0" table="0" count="10" xr9:uid="{140590E0-748C-4F52-AE13-3330B589B48F}">
      <tableStyleElement type="wholeTable" dxfId="294"/>
      <tableStyleElement type="headerRow" dxfId="293"/>
    </tableStyle>
    <tableStyle name="SlicerStyleLight4 2" pivot="0" table="0" count="10" xr9:uid="{B316C2B1-7771-4B4F-BB24-65C970E02F42}">
      <tableStyleElement type="wholeTable" dxfId="292"/>
      <tableStyleElement type="headerRow" dxfId="291"/>
    </tableStyle>
  </tableStyles>
  <colors>
    <mruColors>
      <color rgb="FFFF3399"/>
      <color rgb="FF0099FF"/>
      <color rgb="FFFF0066"/>
      <color rgb="FFE43CD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326242801739345E-2"/>
          <c:y val="3.8016362819512435E-2"/>
          <c:w val="0.83849628171478563"/>
          <c:h val="0.96198363718048763"/>
        </c:manualLayout>
      </c:layout>
      <c:doughnutChart>
        <c:varyColors val="1"/>
        <c:ser>
          <c:idx val="0"/>
          <c:order val="0"/>
          <c:tx>
            <c:strRef>
              <c:f>Pivot!$A$11</c:f>
              <c:strCache>
                <c:ptCount val="1"/>
                <c:pt idx="0">
                  <c:v>Grand 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B1FE-40AD-8C24-32BE3829190E}"/>
              </c:ext>
            </c:extLst>
          </c:dPt>
          <c:val>
            <c:numRef>
              <c:f>Pivot!$B$11</c:f>
              <c:numCache>
                <c:formatCode>General</c:formatCode>
                <c:ptCount val="1"/>
                <c:pt idx="0">
                  <c:v>100</c:v>
                </c:pt>
              </c:numCache>
            </c:numRef>
          </c:val>
          <c:extLst>
            <c:ext xmlns:c16="http://schemas.microsoft.com/office/drawing/2014/chart" uri="{C3380CC4-5D6E-409C-BE32-E72D297353CC}">
              <c16:uniqueId val="{00000002-B1FE-40AD-8C24-32BE3829190E}"/>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4894179894179877E-2"/>
          <c:y val="0"/>
          <c:w val="0.89153439153439162"/>
          <c:h val="1"/>
        </c:manualLayout>
      </c:layout>
      <c:doughnutChart>
        <c:varyColors val="1"/>
        <c:ser>
          <c:idx val="0"/>
          <c:order val="0"/>
          <c:dPt>
            <c:idx val="0"/>
            <c:bubble3D val="0"/>
            <c:spPr>
              <a:solidFill>
                <a:schemeClr val="accent6"/>
              </a:solidFill>
              <a:ln w="19050">
                <a:solidFill>
                  <a:schemeClr val="lt1"/>
                </a:solidFill>
              </a:ln>
              <a:effectLst/>
            </c:spPr>
            <c:extLst>
              <c:ext xmlns:c16="http://schemas.microsoft.com/office/drawing/2014/chart" uri="{C3380CC4-5D6E-409C-BE32-E72D297353CC}">
                <c16:uniqueId val="{00000001-C79C-479C-98A5-9AE3A31C7538}"/>
              </c:ext>
            </c:extLst>
          </c:dPt>
          <c:dPt>
            <c:idx val="1"/>
            <c:bubble3D val="0"/>
            <c:spPr>
              <a:noFill/>
              <a:ln w="19050">
                <a:noFill/>
              </a:ln>
              <a:effectLst/>
            </c:spPr>
            <c:extLst>
              <c:ext xmlns:c16="http://schemas.microsoft.com/office/drawing/2014/chart" uri="{C3380CC4-5D6E-409C-BE32-E72D297353CC}">
                <c16:uniqueId val="{00000003-C79C-479C-98A5-9AE3A31C7538}"/>
              </c:ext>
            </c:extLst>
          </c:dPt>
          <c:val>
            <c:numRef>
              <c:f>Pivot!$B$9:$B$10</c:f>
              <c:numCache>
                <c:formatCode>General</c:formatCode>
                <c:ptCount val="2"/>
                <c:pt idx="0">
                  <c:v>91</c:v>
                </c:pt>
                <c:pt idx="1">
                  <c:v>9</c:v>
                </c:pt>
              </c:numCache>
            </c:numRef>
          </c:val>
          <c:extLst>
            <c:ext xmlns:c16="http://schemas.microsoft.com/office/drawing/2014/chart" uri="{C3380CC4-5D6E-409C-BE32-E72D297353CC}">
              <c16:uniqueId val="{00000004-C79C-479C-98A5-9AE3A31C7538}"/>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1261261261261261E-2"/>
          <c:y val="0"/>
          <c:w val="0.87612612612612606"/>
          <c:h val="1"/>
        </c:manualLayout>
      </c:layout>
      <c:doughnutChart>
        <c:varyColors val="1"/>
        <c:ser>
          <c:idx val="0"/>
          <c:order val="0"/>
          <c:dPt>
            <c:idx val="0"/>
            <c:bubble3D val="0"/>
            <c:spPr>
              <a:solidFill>
                <a:schemeClr val="bg2"/>
              </a:solidFill>
              <a:ln w="19050">
                <a:noFill/>
              </a:ln>
              <a:effectLst/>
            </c:spPr>
            <c:extLst>
              <c:ext xmlns:c16="http://schemas.microsoft.com/office/drawing/2014/chart" uri="{C3380CC4-5D6E-409C-BE32-E72D297353CC}">
                <c16:uniqueId val="{00000001-1304-4CD1-A8E3-6F45996284EC}"/>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1304-4CD1-A8E3-6F45996284EC}"/>
              </c:ext>
            </c:extLst>
          </c:dPt>
          <c:val>
            <c:numRef>
              <c:f>Pivot!$B$9:$B$10</c:f>
              <c:numCache>
                <c:formatCode>General</c:formatCode>
                <c:ptCount val="2"/>
                <c:pt idx="0">
                  <c:v>91</c:v>
                </c:pt>
                <c:pt idx="1">
                  <c:v>9</c:v>
                </c:pt>
              </c:numCache>
            </c:numRef>
          </c:val>
          <c:extLst>
            <c:ext xmlns:c16="http://schemas.microsoft.com/office/drawing/2014/chart" uri="{C3380CC4-5D6E-409C-BE32-E72D297353CC}">
              <c16:uniqueId val="{00000004-1304-4CD1-A8E3-6F45996284E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Dashboard.xlsx]Pivot!PivotTable2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867484532874397"/>
                  <c:h val="4.1272180514725268E-2"/>
                </c:manualLayout>
              </c15:layout>
            </c:ext>
          </c:extLst>
        </c:dLbl>
      </c:pivotFmt>
    </c:pivotFmts>
    <c:plotArea>
      <c:layout/>
      <c:barChart>
        <c:barDir val="bar"/>
        <c:grouping val="clustered"/>
        <c:varyColors val="0"/>
        <c:ser>
          <c:idx val="0"/>
          <c:order val="0"/>
          <c:tx>
            <c:strRef>
              <c:f>Pivot!$F$4</c:f>
              <c:strCache>
                <c:ptCount val="1"/>
                <c:pt idx="0">
                  <c:v>Total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c:spPr>
          <c:invertIfNegative val="0"/>
          <c:dPt>
            <c:idx val="0"/>
            <c:invertIfNegative val="0"/>
            <c:bubble3D val="0"/>
            <c:extLst>
              <c:ext xmlns:c16="http://schemas.microsoft.com/office/drawing/2014/chart" uri="{C3380CC4-5D6E-409C-BE32-E72D297353CC}">
                <c16:uniqueId val="{00000001-63F4-4054-B224-DC8094BDF68A}"/>
              </c:ext>
            </c:extLst>
          </c:dPt>
          <c:dLbls>
            <c:dLbl>
              <c:idx val="0"/>
              <c:dLblPos val="inEnd"/>
              <c:showLegendKey val="0"/>
              <c:showVal val="1"/>
              <c:showCatName val="0"/>
              <c:showSerName val="0"/>
              <c:showPercent val="0"/>
              <c:showBubbleSize val="0"/>
              <c:extLst>
                <c:ext xmlns:c15="http://schemas.microsoft.com/office/drawing/2012/chart" uri="{CE6537A1-D6FC-4f65-9D91-7224C49458BB}">
                  <c15:layout>
                    <c:manualLayout>
                      <c:w val="0.2867484532874397"/>
                      <c:h val="4.1272180514725268E-2"/>
                    </c:manualLayout>
                  </c15:layout>
                </c:ext>
                <c:ext xmlns:c16="http://schemas.microsoft.com/office/drawing/2014/chart" uri="{C3380CC4-5D6E-409C-BE32-E72D297353CC}">
                  <c16:uniqueId val="{00000001-63F4-4054-B224-DC8094BDF68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Pivot!$E$5:$E$15</c:f>
              <c:strCache>
                <c:ptCount val="10"/>
                <c:pt idx="0">
                  <c:v>Manoj Nair</c:v>
                </c:pt>
                <c:pt idx="1">
                  <c:v>Joseph Antony</c:v>
                </c:pt>
                <c:pt idx="2">
                  <c:v>Harish Iyer</c:v>
                </c:pt>
                <c:pt idx="3">
                  <c:v>Ramesh Kumar</c:v>
                </c:pt>
                <c:pt idx="4">
                  <c:v>Pradeep Nair</c:v>
                </c:pt>
                <c:pt idx="5">
                  <c:v>Venkat Rao</c:v>
                </c:pt>
                <c:pt idx="6">
                  <c:v>Sonia Roy</c:v>
                </c:pt>
                <c:pt idx="7">
                  <c:v>Mohan Das</c:v>
                </c:pt>
                <c:pt idx="8">
                  <c:v>Prakash Menon</c:v>
                </c:pt>
                <c:pt idx="9">
                  <c:v>Anu Thomas</c:v>
                </c:pt>
              </c:strCache>
            </c:strRef>
          </c:cat>
          <c:val>
            <c:numRef>
              <c:f>Pivot!$F$5:$F$15</c:f>
              <c:numCache>
                <c:formatCode>_ [$₹-4009]\ * #,##0_ ;_ [$₹-4009]\ * \-#,##0_ ;_ [$₹-4009]\ * "-"??_ ;_ @_ </c:formatCode>
                <c:ptCount val="10"/>
                <c:pt idx="0">
                  <c:v>1650000</c:v>
                </c:pt>
                <c:pt idx="1">
                  <c:v>1550000</c:v>
                </c:pt>
                <c:pt idx="2">
                  <c:v>1500000</c:v>
                </c:pt>
                <c:pt idx="3">
                  <c:v>1450000</c:v>
                </c:pt>
                <c:pt idx="4">
                  <c:v>1420000</c:v>
                </c:pt>
                <c:pt idx="5">
                  <c:v>1400000</c:v>
                </c:pt>
                <c:pt idx="6">
                  <c:v>1350000</c:v>
                </c:pt>
                <c:pt idx="7">
                  <c:v>1350000</c:v>
                </c:pt>
                <c:pt idx="8">
                  <c:v>1320000</c:v>
                </c:pt>
                <c:pt idx="9">
                  <c:v>1300000</c:v>
                </c:pt>
              </c:numCache>
            </c:numRef>
          </c:val>
          <c:extLst>
            <c:ext xmlns:c16="http://schemas.microsoft.com/office/drawing/2014/chart" uri="{C3380CC4-5D6E-409C-BE32-E72D297353CC}">
              <c16:uniqueId val="{00000000-63F4-4054-B224-DC8094BDF68A}"/>
            </c:ext>
          </c:extLst>
        </c:ser>
        <c:dLbls>
          <c:showLegendKey val="0"/>
          <c:showVal val="0"/>
          <c:showCatName val="0"/>
          <c:showSerName val="0"/>
          <c:showPercent val="0"/>
          <c:showBubbleSize val="0"/>
        </c:dLbls>
        <c:gapWidth val="32"/>
        <c:axId val="551603296"/>
        <c:axId val="551601856"/>
      </c:barChart>
      <c:catAx>
        <c:axId val="55160329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0"/>
          <a:lstStyle/>
          <a:p>
            <a:pPr>
              <a:defRPr sz="1100" b="0" i="0" u="none" strike="noStrike" kern="1200" baseline="0">
                <a:ln>
                  <a:noFill/>
                </a:ln>
                <a:solidFill>
                  <a:schemeClr val="tx1">
                    <a:lumMod val="65000"/>
                    <a:lumOff val="35000"/>
                  </a:schemeClr>
                </a:solidFill>
                <a:latin typeface="+mn-lt"/>
                <a:ea typeface="+mn-ea"/>
                <a:cs typeface="+mn-cs"/>
              </a:defRPr>
            </a:pPr>
            <a:endParaRPr lang="en-US"/>
          </a:p>
        </c:txPr>
        <c:crossAx val="551601856"/>
        <c:crosses val="autoZero"/>
        <c:auto val="1"/>
        <c:lblAlgn val="ctr"/>
        <c:lblOffset val="100"/>
        <c:noMultiLvlLbl val="0"/>
      </c:catAx>
      <c:valAx>
        <c:axId val="551601856"/>
        <c:scaling>
          <c:orientation val="minMax"/>
        </c:scaling>
        <c:delete val="1"/>
        <c:axPos val="t"/>
        <c:numFmt formatCode="_ [$₹-4009]\ * #,##0_ ;_ [$₹-4009]\ * \-#,##0_ ;_ [$₹-4009]\ * &quot;-&quot;??_ ;_ @_ " sourceLinked="1"/>
        <c:majorTickMark val="none"/>
        <c:minorTickMark val="none"/>
        <c:tickLblPos val="nextTo"/>
        <c:crossAx val="551603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Pivot!$I$13</c:f>
              <c:strCache>
                <c:ptCount val="1"/>
                <c:pt idx="0">
                  <c:v>X</c:v>
                </c:pt>
              </c:strCache>
            </c:strRef>
          </c:tx>
          <c:spPr>
            <a:solidFill>
              <a:schemeClr val="bg1"/>
            </a:solidFill>
            <a:ln>
              <a:noFill/>
            </a:ln>
            <a:effectLst/>
          </c:spPr>
          <c:invertIfNegative val="0"/>
          <c:cat>
            <c:strRef>
              <c:f>Pivot!$H$14:$H$18</c:f>
              <c:strCache>
                <c:ptCount val="5"/>
                <c:pt idx="0">
                  <c:v>26-30</c:v>
                </c:pt>
                <c:pt idx="1">
                  <c:v>31-35</c:v>
                </c:pt>
                <c:pt idx="2">
                  <c:v>36-40</c:v>
                </c:pt>
                <c:pt idx="3">
                  <c:v>41-45</c:v>
                </c:pt>
                <c:pt idx="4">
                  <c:v>46-50</c:v>
                </c:pt>
              </c:strCache>
            </c:strRef>
          </c:cat>
          <c:val>
            <c:numRef>
              <c:f>Pivot!$I$14:$I$18</c:f>
              <c:numCache>
                <c:formatCode>General</c:formatCode>
                <c:ptCount val="5"/>
                <c:pt idx="0">
                  <c:v>2</c:v>
                </c:pt>
                <c:pt idx="1">
                  <c:v>7</c:v>
                </c:pt>
                <c:pt idx="2">
                  <c:v>6</c:v>
                </c:pt>
                <c:pt idx="3">
                  <c:v>8</c:v>
                </c:pt>
                <c:pt idx="4">
                  <c:v>16</c:v>
                </c:pt>
              </c:numCache>
            </c:numRef>
          </c:val>
          <c:extLst>
            <c:ext xmlns:c16="http://schemas.microsoft.com/office/drawing/2014/chart" uri="{C3380CC4-5D6E-409C-BE32-E72D297353CC}">
              <c16:uniqueId val="{00000000-ED92-4448-B39D-E60725715F44}"/>
            </c:ext>
          </c:extLst>
        </c:ser>
        <c:ser>
          <c:idx val="1"/>
          <c:order val="1"/>
          <c:tx>
            <c:strRef>
              <c:f>Pivot!$J$13</c:f>
              <c:strCache>
                <c:ptCount val="1"/>
                <c:pt idx="0">
                  <c:v>Male</c:v>
                </c:pt>
              </c:strCache>
            </c:strRef>
          </c:tx>
          <c:spPr>
            <a:solidFill>
              <a:srgbClr val="0099FF"/>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Pivot!$H$14:$H$18</c:f>
              <c:strCache>
                <c:ptCount val="5"/>
                <c:pt idx="0">
                  <c:v>26-30</c:v>
                </c:pt>
                <c:pt idx="1">
                  <c:v>31-35</c:v>
                </c:pt>
                <c:pt idx="2">
                  <c:v>36-40</c:v>
                </c:pt>
                <c:pt idx="3">
                  <c:v>41-45</c:v>
                </c:pt>
                <c:pt idx="4">
                  <c:v>46-50</c:v>
                </c:pt>
              </c:strCache>
            </c:strRef>
          </c:cat>
          <c:val>
            <c:numRef>
              <c:f>Pivot!$J$14:$J$18</c:f>
              <c:numCache>
                <c:formatCode>General</c:formatCode>
                <c:ptCount val="5"/>
                <c:pt idx="0">
                  <c:v>15</c:v>
                </c:pt>
                <c:pt idx="1">
                  <c:v>10</c:v>
                </c:pt>
                <c:pt idx="2">
                  <c:v>11</c:v>
                </c:pt>
                <c:pt idx="3">
                  <c:v>9</c:v>
                </c:pt>
                <c:pt idx="4">
                  <c:v>1</c:v>
                </c:pt>
              </c:numCache>
            </c:numRef>
          </c:val>
          <c:extLst>
            <c:ext xmlns:c16="http://schemas.microsoft.com/office/drawing/2014/chart" uri="{C3380CC4-5D6E-409C-BE32-E72D297353CC}">
              <c16:uniqueId val="{00000001-ED92-4448-B39D-E60725715F44}"/>
            </c:ext>
          </c:extLst>
        </c:ser>
        <c:ser>
          <c:idx val="2"/>
          <c:order val="2"/>
          <c:tx>
            <c:strRef>
              <c:f>Pivot!$K$13</c:f>
              <c:strCache>
                <c:ptCount val="1"/>
                <c:pt idx="0">
                  <c:v>Center</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Pivot!$H$14:$H$18</c:f>
              <c:strCache>
                <c:ptCount val="5"/>
                <c:pt idx="0">
                  <c:v>26-30</c:v>
                </c:pt>
                <c:pt idx="1">
                  <c:v>31-35</c:v>
                </c:pt>
                <c:pt idx="2">
                  <c:v>36-40</c:v>
                </c:pt>
                <c:pt idx="3">
                  <c:v>41-45</c:v>
                </c:pt>
                <c:pt idx="4">
                  <c:v>46-50</c:v>
                </c:pt>
              </c:strCache>
            </c:strRef>
          </c:cat>
          <c:val>
            <c:numRef>
              <c:f>Pivot!$K$14:$K$18</c:f>
              <c:numCache>
                <c:formatCode>General</c:formatCode>
                <c:ptCount val="5"/>
                <c:pt idx="0">
                  <c:v>9</c:v>
                </c:pt>
                <c:pt idx="1">
                  <c:v>9</c:v>
                </c:pt>
                <c:pt idx="2">
                  <c:v>9</c:v>
                </c:pt>
                <c:pt idx="3">
                  <c:v>9</c:v>
                </c:pt>
                <c:pt idx="4">
                  <c:v>9</c:v>
                </c:pt>
              </c:numCache>
            </c:numRef>
          </c:val>
          <c:extLst>
            <c:ext xmlns:c16="http://schemas.microsoft.com/office/drawing/2014/chart" uri="{C3380CC4-5D6E-409C-BE32-E72D297353CC}">
              <c16:uniqueId val="{00000002-ED92-4448-B39D-E60725715F44}"/>
            </c:ext>
          </c:extLst>
        </c:ser>
        <c:ser>
          <c:idx val="3"/>
          <c:order val="3"/>
          <c:tx>
            <c:strRef>
              <c:f>Pivot!$L$13</c:f>
              <c:strCache>
                <c:ptCount val="1"/>
                <c:pt idx="0">
                  <c:v>Female</c:v>
                </c:pt>
              </c:strCache>
            </c:strRef>
          </c:tx>
          <c:spPr>
            <a:solidFill>
              <a:srgbClr val="FF3399"/>
            </a:solidFill>
            <a:ln>
              <a:noFill/>
            </a:ln>
            <a:effectLst>
              <a:outerShdw blurRad="50800" dist="38100" algn="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Pivot!$H$14:$H$18</c:f>
              <c:strCache>
                <c:ptCount val="5"/>
                <c:pt idx="0">
                  <c:v>26-30</c:v>
                </c:pt>
                <c:pt idx="1">
                  <c:v>31-35</c:v>
                </c:pt>
                <c:pt idx="2">
                  <c:v>36-40</c:v>
                </c:pt>
                <c:pt idx="3">
                  <c:v>41-45</c:v>
                </c:pt>
                <c:pt idx="4">
                  <c:v>46-50</c:v>
                </c:pt>
              </c:strCache>
            </c:strRef>
          </c:cat>
          <c:val>
            <c:numRef>
              <c:f>Pivot!$L$14:$L$18</c:f>
              <c:numCache>
                <c:formatCode>General</c:formatCode>
                <c:ptCount val="5"/>
                <c:pt idx="0">
                  <c:v>17</c:v>
                </c:pt>
                <c:pt idx="1">
                  <c:v>15</c:v>
                </c:pt>
                <c:pt idx="2">
                  <c:v>9</c:v>
                </c:pt>
                <c:pt idx="3">
                  <c:v>4</c:v>
                </c:pt>
                <c:pt idx="4">
                  <c:v>0</c:v>
                </c:pt>
              </c:numCache>
            </c:numRef>
          </c:val>
          <c:extLst>
            <c:ext xmlns:c16="http://schemas.microsoft.com/office/drawing/2014/chart" uri="{C3380CC4-5D6E-409C-BE32-E72D297353CC}">
              <c16:uniqueId val="{00000003-ED92-4448-B39D-E60725715F44}"/>
            </c:ext>
          </c:extLst>
        </c:ser>
        <c:ser>
          <c:idx val="4"/>
          <c:order val="4"/>
          <c:tx>
            <c:strRef>
              <c:f>Pivot!$M$13</c:f>
              <c:strCache>
                <c:ptCount val="1"/>
                <c:pt idx="0">
                  <c:v>Y</c:v>
                </c:pt>
              </c:strCache>
            </c:strRef>
          </c:tx>
          <c:spPr>
            <a:solidFill>
              <a:schemeClr val="bg1"/>
            </a:solidFill>
            <a:ln>
              <a:noFill/>
            </a:ln>
            <a:effectLst/>
          </c:spPr>
          <c:invertIfNegative val="0"/>
          <c:cat>
            <c:strRef>
              <c:f>Pivot!$H$14:$H$18</c:f>
              <c:strCache>
                <c:ptCount val="5"/>
                <c:pt idx="0">
                  <c:v>26-30</c:v>
                </c:pt>
                <c:pt idx="1">
                  <c:v>31-35</c:v>
                </c:pt>
                <c:pt idx="2">
                  <c:v>36-40</c:v>
                </c:pt>
                <c:pt idx="3">
                  <c:v>41-45</c:v>
                </c:pt>
                <c:pt idx="4">
                  <c:v>46-50</c:v>
                </c:pt>
              </c:strCache>
            </c:strRef>
          </c:cat>
          <c:val>
            <c:numRef>
              <c:f>Pivot!$M$14:$M$18</c:f>
              <c:numCache>
                <c:formatCode>General</c:formatCode>
                <c:ptCount val="5"/>
                <c:pt idx="0">
                  <c:v>0</c:v>
                </c:pt>
                <c:pt idx="1">
                  <c:v>2</c:v>
                </c:pt>
                <c:pt idx="2">
                  <c:v>8</c:v>
                </c:pt>
                <c:pt idx="3">
                  <c:v>13</c:v>
                </c:pt>
                <c:pt idx="4">
                  <c:v>17</c:v>
                </c:pt>
              </c:numCache>
            </c:numRef>
          </c:val>
          <c:extLst>
            <c:ext xmlns:c16="http://schemas.microsoft.com/office/drawing/2014/chart" uri="{C3380CC4-5D6E-409C-BE32-E72D297353CC}">
              <c16:uniqueId val="{00000004-ED92-4448-B39D-E60725715F44}"/>
            </c:ext>
          </c:extLst>
        </c:ser>
        <c:dLbls>
          <c:showLegendKey val="0"/>
          <c:showVal val="0"/>
          <c:showCatName val="0"/>
          <c:showSerName val="0"/>
          <c:showPercent val="0"/>
          <c:showBubbleSize val="0"/>
        </c:dLbls>
        <c:gapWidth val="10"/>
        <c:overlap val="100"/>
        <c:axId val="533037984"/>
        <c:axId val="533035104"/>
      </c:barChart>
      <c:catAx>
        <c:axId val="533037984"/>
        <c:scaling>
          <c:orientation val="minMax"/>
        </c:scaling>
        <c:delete val="1"/>
        <c:axPos val="l"/>
        <c:numFmt formatCode="General" sourceLinked="1"/>
        <c:majorTickMark val="none"/>
        <c:minorTickMark val="none"/>
        <c:tickLblPos val="nextTo"/>
        <c:crossAx val="533035104"/>
        <c:crosses val="autoZero"/>
        <c:auto val="1"/>
        <c:lblAlgn val="ctr"/>
        <c:lblOffset val="100"/>
        <c:noMultiLvlLbl val="0"/>
      </c:catAx>
      <c:valAx>
        <c:axId val="533035104"/>
        <c:scaling>
          <c:orientation val="minMax"/>
        </c:scaling>
        <c:delete val="1"/>
        <c:axPos val="b"/>
        <c:numFmt formatCode="General" sourceLinked="1"/>
        <c:majorTickMark val="none"/>
        <c:minorTickMark val="none"/>
        <c:tickLblPos val="nextTo"/>
        <c:crossAx val="533037984"/>
        <c:crosses val="autoZero"/>
        <c:crossBetween val="between"/>
      </c:valAx>
      <c:spPr>
        <a:noFill/>
        <a:ln>
          <a:noFill/>
        </a:ln>
        <a:effectLst>
          <a:glow rad="63500">
            <a:schemeClr val="accent1">
              <a:satMod val="175000"/>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Dashboard.xlsx]Pivot!PivotTable4</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8.9155226693364051E-2"/>
          <c:y val="4.3788472943091072E-2"/>
          <c:w val="0.53888888888888886"/>
          <c:h val="0.89814814814814814"/>
        </c:manualLayout>
      </c:layout>
      <c:pieChart>
        <c:varyColors val="1"/>
        <c:ser>
          <c:idx val="0"/>
          <c:order val="0"/>
          <c:tx>
            <c:strRef>
              <c:f>Pivot!$P$4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F7-403B-8EA0-714E90A6DC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F7-403B-8EA0-714E90A6DC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1F7-403B-8EA0-714E90A6DC4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1F7-403B-8EA0-714E90A6DC4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1F7-403B-8EA0-714E90A6DC4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1F7-403B-8EA0-714E90A6DC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Pivot!$O$5:$O$11</c:f>
              <c:strCache>
                <c:ptCount val="6"/>
                <c:pt idx="0">
                  <c:v>Analytics</c:v>
                </c:pt>
                <c:pt idx="1">
                  <c:v>Finance</c:v>
                </c:pt>
                <c:pt idx="2">
                  <c:v>HR</c:v>
                </c:pt>
                <c:pt idx="3">
                  <c:v>IT</c:v>
                </c:pt>
                <c:pt idx="4">
                  <c:v>Marketing</c:v>
                </c:pt>
                <c:pt idx="5">
                  <c:v>Operations</c:v>
                </c:pt>
              </c:strCache>
            </c:strRef>
          </c:cat>
          <c:val>
            <c:numRef>
              <c:f>Pivot!$P$5:$P$11</c:f>
              <c:numCache>
                <c:formatCode>General</c:formatCode>
                <c:ptCount val="6"/>
                <c:pt idx="0">
                  <c:v>19</c:v>
                </c:pt>
                <c:pt idx="1">
                  <c:v>7</c:v>
                </c:pt>
                <c:pt idx="2">
                  <c:v>10</c:v>
                </c:pt>
                <c:pt idx="3">
                  <c:v>37</c:v>
                </c:pt>
                <c:pt idx="4">
                  <c:v>7</c:v>
                </c:pt>
                <c:pt idx="5">
                  <c:v>11</c:v>
                </c:pt>
              </c:numCache>
            </c:numRef>
          </c:val>
          <c:extLst>
            <c:ext xmlns:c16="http://schemas.microsoft.com/office/drawing/2014/chart" uri="{C3380CC4-5D6E-409C-BE32-E72D297353CC}">
              <c16:uniqueId val="{0000000C-81F7-403B-8EA0-714E90A6DC4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Dashboard.xlsx]Pivot!PivotTable6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Pivot!$S$4:$S$5</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Pivot!$R$6:$R$15</c:f>
              <c:strCache>
                <c:ptCount val="10"/>
                <c:pt idx="0">
                  <c:v>Business Analyst</c:v>
                </c:pt>
                <c:pt idx="1">
                  <c:v>Cloud Engineer</c:v>
                </c:pt>
                <c:pt idx="2">
                  <c:v>Data Analyst</c:v>
                </c:pt>
                <c:pt idx="3">
                  <c:v>Data Engineer</c:v>
                </c:pt>
                <c:pt idx="4">
                  <c:v>Financial Analyst</c:v>
                </c:pt>
                <c:pt idx="5">
                  <c:v>HR Manager</c:v>
                </c:pt>
                <c:pt idx="6">
                  <c:v>Marketing Executive</c:v>
                </c:pt>
                <c:pt idx="7">
                  <c:v>Project Manager</c:v>
                </c:pt>
                <c:pt idx="8">
                  <c:v>Software Developer</c:v>
                </c:pt>
                <c:pt idx="9">
                  <c:v>Database Admin</c:v>
                </c:pt>
              </c:strCache>
            </c:strRef>
          </c:cat>
          <c:val>
            <c:numRef>
              <c:f>Pivot!$S$6:$S$15</c:f>
              <c:numCache>
                <c:formatCode>0.00</c:formatCode>
                <c:ptCount val="10"/>
                <c:pt idx="0">
                  <c:v>4.8571428571428568</c:v>
                </c:pt>
                <c:pt idx="2">
                  <c:v>3.7142857142857144</c:v>
                </c:pt>
                <c:pt idx="3">
                  <c:v>4.333333333333333</c:v>
                </c:pt>
                <c:pt idx="4">
                  <c:v>5.8571428571428568</c:v>
                </c:pt>
                <c:pt idx="5">
                  <c:v>7.3</c:v>
                </c:pt>
                <c:pt idx="6">
                  <c:v>4.333333333333333</c:v>
                </c:pt>
                <c:pt idx="7">
                  <c:v>9.3333333333333339</c:v>
                </c:pt>
                <c:pt idx="8">
                  <c:v>4</c:v>
                </c:pt>
                <c:pt idx="9">
                  <c:v>5</c:v>
                </c:pt>
              </c:numCache>
            </c:numRef>
          </c:val>
          <c:extLst>
            <c:ext xmlns:c16="http://schemas.microsoft.com/office/drawing/2014/chart" uri="{C3380CC4-5D6E-409C-BE32-E72D297353CC}">
              <c16:uniqueId val="{00000000-C0DB-42A2-9A55-010D7E84275A}"/>
            </c:ext>
          </c:extLst>
        </c:ser>
        <c:ser>
          <c:idx val="1"/>
          <c:order val="1"/>
          <c:tx>
            <c:strRef>
              <c:f>Pivot!$T$4:$T$5</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Pivot!$R$6:$R$15</c:f>
              <c:strCache>
                <c:ptCount val="10"/>
                <c:pt idx="0">
                  <c:v>Business Analyst</c:v>
                </c:pt>
                <c:pt idx="1">
                  <c:v>Cloud Engineer</c:v>
                </c:pt>
                <c:pt idx="2">
                  <c:v>Data Analyst</c:v>
                </c:pt>
                <c:pt idx="3">
                  <c:v>Data Engineer</c:v>
                </c:pt>
                <c:pt idx="4">
                  <c:v>Financial Analyst</c:v>
                </c:pt>
                <c:pt idx="5">
                  <c:v>HR Manager</c:v>
                </c:pt>
                <c:pt idx="6">
                  <c:v>Marketing Executive</c:v>
                </c:pt>
                <c:pt idx="7">
                  <c:v>Project Manager</c:v>
                </c:pt>
                <c:pt idx="8">
                  <c:v>Software Developer</c:v>
                </c:pt>
                <c:pt idx="9">
                  <c:v>Database Admin</c:v>
                </c:pt>
              </c:strCache>
            </c:strRef>
          </c:cat>
          <c:val>
            <c:numRef>
              <c:f>Pivot!$T$6:$T$15</c:f>
              <c:numCache>
                <c:formatCode>0.00</c:formatCode>
                <c:ptCount val="10"/>
                <c:pt idx="0">
                  <c:v>7.333333333333333</c:v>
                </c:pt>
                <c:pt idx="1">
                  <c:v>5.6</c:v>
                </c:pt>
                <c:pt idx="2">
                  <c:v>2.6666666666666665</c:v>
                </c:pt>
                <c:pt idx="3">
                  <c:v>5.2857142857142856</c:v>
                </c:pt>
                <c:pt idx="4">
                  <c:v>9.6666666666666661</c:v>
                </c:pt>
                <c:pt idx="5">
                  <c:v>4</c:v>
                </c:pt>
                <c:pt idx="7">
                  <c:v>9.75</c:v>
                </c:pt>
                <c:pt idx="8">
                  <c:v>6.25</c:v>
                </c:pt>
                <c:pt idx="9">
                  <c:v>7.4285714285714288</c:v>
                </c:pt>
              </c:numCache>
            </c:numRef>
          </c:val>
          <c:extLst>
            <c:ext xmlns:c16="http://schemas.microsoft.com/office/drawing/2014/chart" uri="{C3380CC4-5D6E-409C-BE32-E72D297353CC}">
              <c16:uniqueId val="{00000001-1989-4CD4-9C80-47ED93FC8015}"/>
            </c:ext>
          </c:extLst>
        </c:ser>
        <c:dLbls>
          <c:dLblPos val="ctr"/>
          <c:showLegendKey val="0"/>
          <c:showVal val="1"/>
          <c:showCatName val="0"/>
          <c:showSerName val="0"/>
          <c:showPercent val="0"/>
          <c:showBubbleSize val="0"/>
        </c:dLbls>
        <c:gapWidth val="40"/>
        <c:overlap val="100"/>
        <c:axId val="646845248"/>
        <c:axId val="646835528"/>
      </c:barChart>
      <c:catAx>
        <c:axId val="646845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835528"/>
        <c:crosses val="autoZero"/>
        <c:auto val="1"/>
        <c:lblAlgn val="ctr"/>
        <c:lblOffset val="100"/>
        <c:noMultiLvlLbl val="0"/>
      </c:catAx>
      <c:valAx>
        <c:axId val="646835528"/>
        <c:scaling>
          <c:orientation val="minMax"/>
        </c:scaling>
        <c:delete val="1"/>
        <c:axPos val="b"/>
        <c:numFmt formatCode="0.00" sourceLinked="1"/>
        <c:majorTickMark val="none"/>
        <c:minorTickMark val="none"/>
        <c:tickLblPos val="nextTo"/>
        <c:crossAx val="646845248"/>
        <c:crosses val="autoZero"/>
        <c:crossBetween val="between"/>
      </c:valAx>
      <c:spPr>
        <a:noFill/>
        <a:ln>
          <a:noFill/>
        </a:ln>
        <a:effectLst/>
      </c:spPr>
    </c:plotArea>
    <c:legend>
      <c:legendPos val="r"/>
      <c:layout>
        <c:manualLayout>
          <c:xMode val="edge"/>
          <c:yMode val="edge"/>
          <c:x val="0.75131598975911973"/>
          <c:y val="7.8093691813080249E-2"/>
          <c:w val="0.13110559306414818"/>
          <c:h val="0.234575711671322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Dashboard.xlsx]Pivot!PivotTable7</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444444444444446E-2"/>
          <c:y val="7.4430416839637623E-2"/>
          <c:w val="0.94014829396325461"/>
          <c:h val="0.78788405655539551"/>
        </c:manualLayout>
      </c:layout>
      <c:barChart>
        <c:barDir val="col"/>
        <c:grouping val="clustered"/>
        <c:varyColors val="0"/>
        <c:ser>
          <c:idx val="0"/>
          <c:order val="0"/>
          <c:tx>
            <c:strRef>
              <c:f>Pivot!$X$4:$X$5</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Pivot!$W$6:$W$10</c:f>
              <c:strCache>
                <c:ptCount val="5"/>
                <c:pt idx="0">
                  <c:v>26-30</c:v>
                </c:pt>
                <c:pt idx="1">
                  <c:v>31-35</c:v>
                </c:pt>
                <c:pt idx="2">
                  <c:v>36-40</c:v>
                </c:pt>
                <c:pt idx="3">
                  <c:v>41-45</c:v>
                </c:pt>
                <c:pt idx="4">
                  <c:v>46-50</c:v>
                </c:pt>
              </c:strCache>
            </c:strRef>
          </c:cat>
          <c:val>
            <c:numRef>
              <c:f>Pivot!$X$6:$X$10</c:f>
              <c:numCache>
                <c:formatCode>0</c:formatCode>
                <c:ptCount val="5"/>
                <c:pt idx="0">
                  <c:v>2</c:v>
                </c:pt>
                <c:pt idx="1">
                  <c:v>2</c:v>
                </c:pt>
                <c:pt idx="2">
                  <c:v>1</c:v>
                </c:pt>
                <c:pt idx="3">
                  <c:v>1</c:v>
                </c:pt>
              </c:numCache>
            </c:numRef>
          </c:val>
          <c:extLst>
            <c:ext xmlns:c16="http://schemas.microsoft.com/office/drawing/2014/chart" uri="{C3380CC4-5D6E-409C-BE32-E72D297353CC}">
              <c16:uniqueId val="{00000000-03AB-4A81-AF72-2CBA51F08840}"/>
            </c:ext>
          </c:extLst>
        </c:ser>
        <c:ser>
          <c:idx val="1"/>
          <c:order val="1"/>
          <c:tx>
            <c:strRef>
              <c:f>Pivot!$Y$4:$Y$5</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Pivot!$W$6:$W$10</c:f>
              <c:strCache>
                <c:ptCount val="5"/>
                <c:pt idx="0">
                  <c:v>26-30</c:v>
                </c:pt>
                <c:pt idx="1">
                  <c:v>31-35</c:v>
                </c:pt>
                <c:pt idx="2">
                  <c:v>36-40</c:v>
                </c:pt>
                <c:pt idx="3">
                  <c:v>41-45</c:v>
                </c:pt>
                <c:pt idx="4">
                  <c:v>46-50</c:v>
                </c:pt>
              </c:strCache>
            </c:strRef>
          </c:cat>
          <c:val>
            <c:numRef>
              <c:f>Pivot!$Y$6:$Y$10</c:f>
              <c:numCache>
                <c:formatCode>0</c:formatCode>
                <c:ptCount val="5"/>
                <c:pt idx="1">
                  <c:v>1</c:v>
                </c:pt>
                <c:pt idx="2">
                  <c:v>3</c:v>
                </c:pt>
              </c:numCache>
            </c:numRef>
          </c:val>
          <c:extLst>
            <c:ext xmlns:c16="http://schemas.microsoft.com/office/drawing/2014/chart" uri="{C3380CC4-5D6E-409C-BE32-E72D297353CC}">
              <c16:uniqueId val="{00000001-14E9-434A-B640-8EE28926D2EE}"/>
            </c:ext>
          </c:extLst>
        </c:ser>
        <c:dLbls>
          <c:dLblPos val="outEnd"/>
          <c:showLegendKey val="0"/>
          <c:showVal val="1"/>
          <c:showCatName val="0"/>
          <c:showSerName val="0"/>
          <c:showPercent val="0"/>
          <c:showBubbleSize val="0"/>
        </c:dLbls>
        <c:gapWidth val="80"/>
        <c:overlap val="-27"/>
        <c:axId val="646840568"/>
        <c:axId val="646842728"/>
      </c:barChart>
      <c:catAx>
        <c:axId val="646840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842728"/>
        <c:crosses val="autoZero"/>
        <c:auto val="1"/>
        <c:lblAlgn val="ctr"/>
        <c:lblOffset val="100"/>
        <c:noMultiLvlLbl val="0"/>
      </c:catAx>
      <c:valAx>
        <c:axId val="646842728"/>
        <c:scaling>
          <c:orientation val="minMax"/>
        </c:scaling>
        <c:delete val="1"/>
        <c:axPos val="l"/>
        <c:numFmt formatCode="0" sourceLinked="1"/>
        <c:majorTickMark val="none"/>
        <c:minorTickMark val="none"/>
        <c:tickLblPos val="nextTo"/>
        <c:crossAx val="646840568"/>
        <c:crosses val="autoZero"/>
        <c:crossBetween val="between"/>
      </c:valAx>
      <c:spPr>
        <a:noFill/>
        <a:ln>
          <a:noFill/>
        </a:ln>
        <a:effectLst/>
      </c:spPr>
    </c:plotArea>
    <c:legend>
      <c:legendPos val="r"/>
      <c:layout>
        <c:manualLayout>
          <c:xMode val="edge"/>
          <c:yMode val="edge"/>
          <c:x val="0.72903718285214336"/>
          <c:y val="6.0394617958047431E-2"/>
          <c:w val="9.4818833420663523E-2"/>
          <c:h val="0.209870722008986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Dashboard.xlsx]Pivot!PivotTable9</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Pivot!$AB$4:$AB$5</c:f>
              <c:strCache>
                <c:ptCount val="1"/>
                <c:pt idx="0">
                  <c:v>Female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Pivot!$AA$6:$AA$11</c:f>
              <c:strCache>
                <c:ptCount val="6"/>
                <c:pt idx="0">
                  <c:v>Analytics</c:v>
                </c:pt>
                <c:pt idx="1">
                  <c:v>Finance</c:v>
                </c:pt>
                <c:pt idx="2">
                  <c:v>HR</c:v>
                </c:pt>
                <c:pt idx="3">
                  <c:v>IT</c:v>
                </c:pt>
                <c:pt idx="4">
                  <c:v>Marketing</c:v>
                </c:pt>
                <c:pt idx="5">
                  <c:v>Operations</c:v>
                </c:pt>
              </c:strCache>
            </c:strRef>
          </c:cat>
          <c:val>
            <c:numRef>
              <c:f>Pivot!$AB$6:$AB$11</c:f>
              <c:numCache>
                <c:formatCode>0</c:formatCode>
                <c:ptCount val="6"/>
                <c:pt idx="1">
                  <c:v>2</c:v>
                </c:pt>
                <c:pt idx="2">
                  <c:v>2</c:v>
                </c:pt>
                <c:pt idx="4">
                  <c:v>2</c:v>
                </c:pt>
              </c:numCache>
            </c:numRef>
          </c:val>
          <c:smooth val="0"/>
          <c:extLst>
            <c:ext xmlns:c16="http://schemas.microsoft.com/office/drawing/2014/chart" uri="{C3380CC4-5D6E-409C-BE32-E72D297353CC}">
              <c16:uniqueId val="{00000000-978C-4B18-82B4-6497CD87B7DA}"/>
            </c:ext>
          </c:extLst>
        </c:ser>
        <c:ser>
          <c:idx val="1"/>
          <c:order val="1"/>
          <c:tx>
            <c:strRef>
              <c:f>Pivot!$AC$4:$AC$5</c:f>
              <c:strCache>
                <c:ptCount val="1"/>
                <c:pt idx="0">
                  <c:v>Male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Pivot!$AA$6:$AA$11</c:f>
              <c:strCache>
                <c:ptCount val="6"/>
                <c:pt idx="0">
                  <c:v>Analytics</c:v>
                </c:pt>
                <c:pt idx="1">
                  <c:v>Finance</c:v>
                </c:pt>
                <c:pt idx="2">
                  <c:v>HR</c:v>
                </c:pt>
                <c:pt idx="3">
                  <c:v>IT</c:v>
                </c:pt>
                <c:pt idx="4">
                  <c:v>Marketing</c:v>
                </c:pt>
                <c:pt idx="5">
                  <c:v>Operations</c:v>
                </c:pt>
              </c:strCache>
            </c:strRef>
          </c:cat>
          <c:val>
            <c:numRef>
              <c:f>Pivot!$AC$6:$AC$11</c:f>
              <c:numCache>
                <c:formatCode>0</c:formatCode>
                <c:ptCount val="6"/>
                <c:pt idx="0">
                  <c:v>1</c:v>
                </c:pt>
                <c:pt idx="1">
                  <c:v>1</c:v>
                </c:pt>
                <c:pt idx="3">
                  <c:v>2</c:v>
                </c:pt>
              </c:numCache>
            </c:numRef>
          </c:val>
          <c:smooth val="0"/>
          <c:extLst>
            <c:ext xmlns:c16="http://schemas.microsoft.com/office/drawing/2014/chart" uri="{C3380CC4-5D6E-409C-BE32-E72D297353CC}">
              <c16:uniqueId val="{00000001-F6CC-4DDB-8E90-934487DD868E}"/>
            </c:ext>
          </c:extLst>
        </c:ser>
        <c:dLbls>
          <c:dLblPos val="t"/>
          <c:showLegendKey val="0"/>
          <c:showVal val="1"/>
          <c:showCatName val="0"/>
          <c:showSerName val="0"/>
          <c:showPercent val="0"/>
          <c:showBubbleSize val="0"/>
        </c:dLbls>
        <c:smooth val="0"/>
        <c:axId val="646831568"/>
        <c:axId val="646831928"/>
      </c:lineChart>
      <c:catAx>
        <c:axId val="64683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831928"/>
        <c:crosses val="autoZero"/>
        <c:auto val="1"/>
        <c:lblAlgn val="ctr"/>
        <c:lblOffset val="100"/>
        <c:noMultiLvlLbl val="0"/>
      </c:catAx>
      <c:valAx>
        <c:axId val="646831928"/>
        <c:scaling>
          <c:orientation val="minMax"/>
        </c:scaling>
        <c:delete val="1"/>
        <c:axPos val="l"/>
        <c:numFmt formatCode="0" sourceLinked="1"/>
        <c:majorTickMark val="none"/>
        <c:minorTickMark val="none"/>
        <c:tickLblPos val="nextTo"/>
        <c:crossAx val="64683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chart" Target="../charts/chart9.xml"/><Relationship Id="rId3" Type="http://schemas.openxmlformats.org/officeDocument/2006/relationships/chart" Target="../charts/chart3.xml"/><Relationship Id="rId7" Type="http://schemas.microsoft.com/office/2007/relationships/hdphoto" Target="../media/hdphoto1.wdp"/><Relationship Id="rId12" Type="http://schemas.openxmlformats.org/officeDocument/2006/relationships/chart" Target="../charts/chart8.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chart" Target="../charts/chart7.xml"/><Relationship Id="rId5" Type="http://schemas.openxmlformats.org/officeDocument/2006/relationships/chart" Target="../charts/chart5.xml"/><Relationship Id="rId10" Type="http://schemas.openxmlformats.org/officeDocument/2006/relationships/chart" Target="../charts/chart6.xml"/><Relationship Id="rId4" Type="http://schemas.openxmlformats.org/officeDocument/2006/relationships/chart" Target="../charts/chart4.xml"/><Relationship Id="rId9" Type="http://schemas.microsoft.com/office/2007/relationships/hdphoto" Target="../media/hdphoto2.wdp"/></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27</xdr:col>
      <xdr:colOff>533400</xdr:colOff>
      <xdr:row>44</xdr:row>
      <xdr:rowOff>97972</xdr:rowOff>
    </xdr:to>
    <xdr:sp macro="" textlink="">
      <xdr:nvSpPr>
        <xdr:cNvPr id="3" name="Rectangle: Rounded Corners 2">
          <a:extLst>
            <a:ext uri="{FF2B5EF4-FFF2-40B4-BE49-F238E27FC236}">
              <a16:creationId xmlns:a16="http://schemas.microsoft.com/office/drawing/2014/main" id="{43C66EC8-7818-4CE0-A90A-0EBEBD0A21CF}"/>
            </a:ext>
          </a:extLst>
        </xdr:cNvPr>
        <xdr:cNvSpPr/>
      </xdr:nvSpPr>
      <xdr:spPr>
        <a:xfrm>
          <a:off x="0" y="0"/>
          <a:ext cx="16992600" cy="8240486"/>
        </a:xfrm>
        <a:prstGeom prst="roundRect">
          <a:avLst>
            <a:gd name="adj" fmla="val 2976"/>
          </a:avLst>
        </a:prstGeom>
        <a:ln>
          <a:noFill/>
        </a:ln>
        <a:effectLst>
          <a:outerShdw blurRad="50800" dist="38100" dir="2700000" algn="tl" rotWithShape="0">
            <a:prstClr val="black">
              <a:alpha val="40000"/>
            </a:prstClr>
          </a:outerShdw>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83819</xdr:colOff>
      <xdr:row>0</xdr:row>
      <xdr:rowOff>160020</xdr:rowOff>
    </xdr:from>
    <xdr:to>
      <xdr:col>27</xdr:col>
      <xdr:colOff>332508</xdr:colOff>
      <xdr:row>7</xdr:row>
      <xdr:rowOff>125460</xdr:rowOff>
    </xdr:to>
    <xdr:sp macro="" textlink="">
      <xdr:nvSpPr>
        <xdr:cNvPr id="4" name="Rectangle: Rounded Corners 3">
          <a:extLst>
            <a:ext uri="{FF2B5EF4-FFF2-40B4-BE49-F238E27FC236}">
              <a16:creationId xmlns:a16="http://schemas.microsoft.com/office/drawing/2014/main" id="{F0E001AC-0F6A-64D1-8755-E850B30B4CD9}"/>
            </a:ext>
          </a:extLst>
        </xdr:cNvPr>
        <xdr:cNvSpPr/>
      </xdr:nvSpPr>
      <xdr:spPr>
        <a:xfrm>
          <a:off x="83819" y="160020"/>
          <a:ext cx="16707889" cy="1226204"/>
        </a:xfrm>
        <a:prstGeom prst="roundRect">
          <a:avLst>
            <a:gd name="adj" fmla="val 8559"/>
          </a:avLst>
        </a:prstGeom>
        <a:solidFill>
          <a:srgbClr val="7030A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317962</xdr:colOff>
      <xdr:row>8</xdr:row>
      <xdr:rowOff>53340</xdr:rowOff>
    </xdr:from>
    <xdr:to>
      <xdr:col>27</xdr:col>
      <xdr:colOff>346364</xdr:colOff>
      <xdr:row>15</xdr:row>
      <xdr:rowOff>69273</xdr:rowOff>
    </xdr:to>
    <xdr:sp macro="" textlink="">
      <xdr:nvSpPr>
        <xdr:cNvPr id="8" name="Rectangle: Rounded Corners 7">
          <a:extLst>
            <a:ext uri="{FF2B5EF4-FFF2-40B4-BE49-F238E27FC236}">
              <a16:creationId xmlns:a16="http://schemas.microsoft.com/office/drawing/2014/main" id="{1D1A4CF3-A109-46F5-965B-D6D90500E0D4}"/>
            </a:ext>
          </a:extLst>
        </xdr:cNvPr>
        <xdr:cNvSpPr/>
      </xdr:nvSpPr>
      <xdr:spPr>
        <a:xfrm>
          <a:off x="12509962" y="1494213"/>
          <a:ext cx="4295602" cy="1276696"/>
        </a:xfrm>
        <a:prstGeom prst="roundRect">
          <a:avLst>
            <a:gd name="adj" fmla="val 743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368530</xdr:colOff>
      <xdr:row>16</xdr:row>
      <xdr:rowOff>114380</xdr:rowOff>
    </xdr:from>
    <xdr:to>
      <xdr:col>13</xdr:col>
      <xdr:colOff>249381</xdr:colOff>
      <xdr:row>27</xdr:row>
      <xdr:rowOff>120615</xdr:rowOff>
    </xdr:to>
    <xdr:sp macro="" textlink="">
      <xdr:nvSpPr>
        <xdr:cNvPr id="10" name="Rectangle: Rounded Corners 9">
          <a:extLst>
            <a:ext uri="{FF2B5EF4-FFF2-40B4-BE49-F238E27FC236}">
              <a16:creationId xmlns:a16="http://schemas.microsoft.com/office/drawing/2014/main" id="{AB45F047-F481-43F1-8E71-A516CA9864A0}"/>
            </a:ext>
          </a:extLst>
        </xdr:cNvPr>
        <xdr:cNvSpPr/>
      </xdr:nvSpPr>
      <xdr:spPr>
        <a:xfrm>
          <a:off x="4026130" y="2983086"/>
          <a:ext cx="4148051" cy="1978470"/>
        </a:xfrm>
        <a:prstGeom prst="roundRect">
          <a:avLst>
            <a:gd name="adj" fmla="val 506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205740</xdr:colOff>
      <xdr:row>2</xdr:row>
      <xdr:rowOff>91439</xdr:rowOff>
    </xdr:from>
    <xdr:to>
      <xdr:col>25</xdr:col>
      <xdr:colOff>207818</xdr:colOff>
      <xdr:row>6</xdr:row>
      <xdr:rowOff>130627</xdr:rowOff>
    </xdr:to>
    <xdr:sp macro="" textlink="">
      <xdr:nvSpPr>
        <xdr:cNvPr id="15" name="Rectangle: Rounded Corners 14">
          <a:extLst>
            <a:ext uri="{FF2B5EF4-FFF2-40B4-BE49-F238E27FC236}">
              <a16:creationId xmlns:a16="http://schemas.microsoft.com/office/drawing/2014/main" id="{CE8CA021-F53C-2218-E2FD-59D5B14DE8C4}"/>
            </a:ext>
          </a:extLst>
        </xdr:cNvPr>
        <xdr:cNvSpPr/>
      </xdr:nvSpPr>
      <xdr:spPr>
        <a:xfrm>
          <a:off x="2034540" y="461553"/>
          <a:ext cx="13413278" cy="779417"/>
        </a:xfrm>
        <a:prstGeom prst="round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6000" b="1">
              <a:latin typeface="Bahnschrift Condensed" panose="020B0502040204020203" pitchFamily="34" charset="0"/>
            </a:rPr>
            <a:t>Employee Workforce Dashboard</a:t>
          </a:r>
        </a:p>
      </xdr:txBody>
    </xdr:sp>
    <xdr:clientData/>
  </xdr:twoCellAnchor>
  <xdr:twoCellAnchor>
    <xdr:from>
      <xdr:col>0</xdr:col>
      <xdr:colOff>114300</xdr:colOff>
      <xdr:row>8</xdr:row>
      <xdr:rowOff>0</xdr:rowOff>
    </xdr:from>
    <xdr:to>
      <xdr:col>6</xdr:col>
      <xdr:colOff>249382</xdr:colOff>
      <xdr:row>15</xdr:row>
      <xdr:rowOff>13855</xdr:rowOff>
    </xdr:to>
    <xdr:grpSp>
      <xdr:nvGrpSpPr>
        <xdr:cNvPr id="34" name="Group 33">
          <a:extLst>
            <a:ext uri="{FF2B5EF4-FFF2-40B4-BE49-F238E27FC236}">
              <a16:creationId xmlns:a16="http://schemas.microsoft.com/office/drawing/2014/main" id="{14532D35-D007-2156-0BAF-4A03457E77B0}"/>
            </a:ext>
          </a:extLst>
        </xdr:cNvPr>
        <xdr:cNvGrpSpPr/>
      </xdr:nvGrpSpPr>
      <xdr:grpSpPr>
        <a:xfrm>
          <a:off x="114300" y="1480457"/>
          <a:ext cx="3792682" cy="1309255"/>
          <a:chOff x="114300" y="1480457"/>
          <a:chExt cx="2712720" cy="1031966"/>
        </a:xfrm>
      </xdr:grpSpPr>
      <xdr:sp macro="" textlink="">
        <xdr:nvSpPr>
          <xdr:cNvPr id="5" name="Rectangle: Rounded Corners 4">
            <a:extLst>
              <a:ext uri="{FF2B5EF4-FFF2-40B4-BE49-F238E27FC236}">
                <a16:creationId xmlns:a16="http://schemas.microsoft.com/office/drawing/2014/main" id="{0EF327A4-B186-F03E-A44F-6B9947698966}"/>
              </a:ext>
            </a:extLst>
          </xdr:cNvPr>
          <xdr:cNvSpPr/>
        </xdr:nvSpPr>
        <xdr:spPr>
          <a:xfrm>
            <a:off x="114300" y="1480457"/>
            <a:ext cx="2644140" cy="1031966"/>
          </a:xfrm>
          <a:prstGeom prst="roundRect">
            <a:avLst>
              <a:gd name="adj" fmla="val 1069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TextBox 16">
            <a:extLst>
              <a:ext uri="{FF2B5EF4-FFF2-40B4-BE49-F238E27FC236}">
                <a16:creationId xmlns:a16="http://schemas.microsoft.com/office/drawing/2014/main" id="{EF8AC195-BA71-F982-6949-32462ED617E3}"/>
              </a:ext>
            </a:extLst>
          </xdr:cNvPr>
          <xdr:cNvSpPr txBox="1"/>
        </xdr:nvSpPr>
        <xdr:spPr>
          <a:xfrm>
            <a:off x="1074420" y="1518557"/>
            <a:ext cx="1752600" cy="314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TOTAL EMPLOYEES</a:t>
            </a:r>
          </a:p>
        </xdr:txBody>
      </xdr:sp>
      <xdr:graphicFrame macro="">
        <xdr:nvGraphicFramePr>
          <xdr:cNvPr id="20" name="Chart 19">
            <a:extLst>
              <a:ext uri="{FF2B5EF4-FFF2-40B4-BE49-F238E27FC236}">
                <a16:creationId xmlns:a16="http://schemas.microsoft.com/office/drawing/2014/main" id="{7F08B939-53CC-4F7C-B1A1-1A5B787635AD}"/>
              </a:ext>
            </a:extLst>
          </xdr:cNvPr>
          <xdr:cNvGraphicFramePr>
            <a:graphicFrameLocks/>
          </xdr:cNvGraphicFramePr>
        </xdr:nvGraphicFramePr>
        <xdr:xfrm>
          <a:off x="190500" y="1533797"/>
          <a:ext cx="914400" cy="854529"/>
        </xdr:xfrm>
        <a:graphic>
          <a:graphicData uri="http://schemas.openxmlformats.org/drawingml/2006/chart">
            <c:chart xmlns:c="http://schemas.openxmlformats.org/drawingml/2006/chart" xmlns:r="http://schemas.openxmlformats.org/officeDocument/2006/relationships" r:id="rId1"/>
          </a:graphicData>
        </a:graphic>
      </xdr:graphicFrame>
      <xdr:sp macro="" textlink="Pivot!B11">
        <xdr:nvSpPr>
          <xdr:cNvPr id="24" name="TextBox 23">
            <a:extLst>
              <a:ext uri="{FF2B5EF4-FFF2-40B4-BE49-F238E27FC236}">
                <a16:creationId xmlns:a16="http://schemas.microsoft.com/office/drawing/2014/main" id="{C4A48CB7-B295-4E39-A8BD-8946EA6C1A1E}"/>
              </a:ext>
            </a:extLst>
          </xdr:cNvPr>
          <xdr:cNvSpPr txBox="1"/>
        </xdr:nvSpPr>
        <xdr:spPr>
          <a:xfrm>
            <a:off x="1394460" y="1787434"/>
            <a:ext cx="777240" cy="494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E5450F6-DAE8-427A-BA5A-7082AD44BCFD}" type="TxLink">
              <a:rPr lang="en-US" sz="3000" b="0" i="0" u="none" strike="noStrike">
                <a:solidFill>
                  <a:srgbClr val="000000"/>
                </a:solidFill>
                <a:latin typeface="Calibri"/>
                <a:ea typeface="Calibri"/>
                <a:cs typeface="Calibri"/>
              </a:rPr>
              <a:pPr/>
              <a:t>100</a:t>
            </a:fld>
            <a:endParaRPr lang="en-IN" sz="3000"/>
          </a:p>
        </xdr:txBody>
      </xdr:sp>
    </xdr:grpSp>
    <xdr:clientData/>
  </xdr:twoCellAnchor>
  <xdr:twoCellAnchor>
    <xdr:from>
      <xdr:col>6</xdr:col>
      <xdr:colOff>319347</xdr:colOff>
      <xdr:row>7</xdr:row>
      <xdr:rowOff>160020</xdr:rowOff>
    </xdr:from>
    <xdr:to>
      <xdr:col>13</xdr:col>
      <xdr:colOff>429491</xdr:colOff>
      <xdr:row>15</xdr:row>
      <xdr:rowOff>96982</xdr:rowOff>
    </xdr:to>
    <xdr:grpSp>
      <xdr:nvGrpSpPr>
        <xdr:cNvPr id="32" name="Group 31">
          <a:extLst>
            <a:ext uri="{FF2B5EF4-FFF2-40B4-BE49-F238E27FC236}">
              <a16:creationId xmlns:a16="http://schemas.microsoft.com/office/drawing/2014/main" id="{67D8AA0E-686F-1E89-BB1B-DC2AB7C91F85}"/>
            </a:ext>
          </a:extLst>
        </xdr:cNvPr>
        <xdr:cNvGrpSpPr/>
      </xdr:nvGrpSpPr>
      <xdr:grpSpPr>
        <a:xfrm>
          <a:off x="3976947" y="1455420"/>
          <a:ext cx="4377344" cy="1417419"/>
          <a:chOff x="2827020" y="1488077"/>
          <a:chExt cx="2834640" cy="1070066"/>
        </a:xfrm>
      </xdr:grpSpPr>
      <xdr:sp macro="" textlink="">
        <xdr:nvSpPr>
          <xdr:cNvPr id="6" name="Rectangle: Rounded Corners 5">
            <a:extLst>
              <a:ext uri="{FF2B5EF4-FFF2-40B4-BE49-F238E27FC236}">
                <a16:creationId xmlns:a16="http://schemas.microsoft.com/office/drawing/2014/main" id="{6358B266-35B0-42FF-B210-D4DCCCA76865}"/>
              </a:ext>
            </a:extLst>
          </xdr:cNvPr>
          <xdr:cNvSpPr/>
        </xdr:nvSpPr>
        <xdr:spPr>
          <a:xfrm>
            <a:off x="2827020" y="1488077"/>
            <a:ext cx="2697480" cy="1047206"/>
          </a:xfrm>
          <a:prstGeom prst="roundRect">
            <a:avLst>
              <a:gd name="adj" fmla="val 931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TextBox 17">
            <a:extLst>
              <a:ext uri="{FF2B5EF4-FFF2-40B4-BE49-F238E27FC236}">
                <a16:creationId xmlns:a16="http://schemas.microsoft.com/office/drawing/2014/main" id="{9256A10A-1521-48E2-B1BE-05E418B5BEC6}"/>
              </a:ext>
            </a:extLst>
          </xdr:cNvPr>
          <xdr:cNvSpPr txBox="1"/>
        </xdr:nvSpPr>
        <xdr:spPr>
          <a:xfrm>
            <a:off x="3909060" y="1541417"/>
            <a:ext cx="1752600" cy="316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ACTIVE EMPLOYEES</a:t>
            </a:r>
          </a:p>
        </xdr:txBody>
      </xdr:sp>
      <xdr:graphicFrame macro="">
        <xdr:nvGraphicFramePr>
          <xdr:cNvPr id="25" name="Chart 24">
            <a:extLst>
              <a:ext uri="{FF2B5EF4-FFF2-40B4-BE49-F238E27FC236}">
                <a16:creationId xmlns:a16="http://schemas.microsoft.com/office/drawing/2014/main" id="{493B9D92-FA9B-48F7-87F4-9198DE5E4054}"/>
              </a:ext>
            </a:extLst>
          </xdr:cNvPr>
          <xdr:cNvGraphicFramePr>
            <a:graphicFrameLocks/>
          </xdr:cNvGraphicFramePr>
        </xdr:nvGraphicFramePr>
        <xdr:xfrm>
          <a:off x="2918460" y="1602377"/>
          <a:ext cx="960120" cy="841466"/>
        </xdr:xfrm>
        <a:graphic>
          <a:graphicData uri="http://schemas.openxmlformats.org/drawingml/2006/chart">
            <c:chart xmlns:c="http://schemas.openxmlformats.org/drawingml/2006/chart" xmlns:r="http://schemas.openxmlformats.org/officeDocument/2006/relationships" r:id="rId2"/>
          </a:graphicData>
        </a:graphic>
      </xdr:graphicFrame>
      <xdr:sp macro="" textlink="Pivot!B9">
        <xdr:nvSpPr>
          <xdr:cNvPr id="27" name="TextBox 26">
            <a:extLst>
              <a:ext uri="{FF2B5EF4-FFF2-40B4-BE49-F238E27FC236}">
                <a16:creationId xmlns:a16="http://schemas.microsoft.com/office/drawing/2014/main" id="{D08DFD8B-80E7-4502-8C4A-8285780159C4}"/>
              </a:ext>
            </a:extLst>
          </xdr:cNvPr>
          <xdr:cNvSpPr txBox="1"/>
        </xdr:nvSpPr>
        <xdr:spPr>
          <a:xfrm>
            <a:off x="4411980" y="1779814"/>
            <a:ext cx="777240" cy="494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313E91D-BBF7-428C-8421-761D8A00CFC0}" type="TxLink">
              <a:rPr lang="en-US" sz="3000" b="0" i="0" u="none" strike="noStrike">
                <a:solidFill>
                  <a:srgbClr val="000000"/>
                </a:solidFill>
                <a:latin typeface="Calibri"/>
                <a:ea typeface="Calibri"/>
                <a:cs typeface="Calibri"/>
              </a:rPr>
              <a:pPr marL="0" indent="0"/>
              <a:t>91</a:t>
            </a:fld>
            <a:endParaRPr lang="en-IN" sz="3000" b="0" i="0" u="none" strike="noStrike">
              <a:solidFill>
                <a:srgbClr val="000000"/>
              </a:solidFill>
              <a:latin typeface="Calibri"/>
              <a:ea typeface="Calibri"/>
              <a:cs typeface="Calibri"/>
            </a:endParaRPr>
          </a:p>
        </xdr:txBody>
      </xdr:sp>
      <xdr:sp macro="" textlink="Pivot!C9">
        <xdr:nvSpPr>
          <xdr:cNvPr id="29" name="TextBox 28">
            <a:extLst>
              <a:ext uri="{FF2B5EF4-FFF2-40B4-BE49-F238E27FC236}">
                <a16:creationId xmlns:a16="http://schemas.microsoft.com/office/drawing/2014/main" id="{EF33C9EE-4E25-45FC-B5C7-FD3DB33787F1}"/>
              </a:ext>
            </a:extLst>
          </xdr:cNvPr>
          <xdr:cNvSpPr txBox="1"/>
        </xdr:nvSpPr>
        <xdr:spPr>
          <a:xfrm>
            <a:off x="4975860" y="2220686"/>
            <a:ext cx="502920" cy="337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D8CB865-FCAD-4764-8B1E-B9FAFD60A81D}" type="TxLink">
              <a:rPr lang="en-US" sz="1400" b="0" i="0" u="none" strike="noStrike">
                <a:solidFill>
                  <a:srgbClr val="000000"/>
                </a:solidFill>
                <a:latin typeface="Calibri"/>
                <a:ea typeface="Calibri"/>
                <a:cs typeface="Calibri"/>
              </a:rPr>
              <a:pPr marL="0" indent="0"/>
              <a:t>91%</a:t>
            </a:fld>
            <a:endParaRPr lang="en-IN" sz="1600" b="0" i="0" u="none" strike="noStrike">
              <a:solidFill>
                <a:srgbClr val="000000"/>
              </a:solidFill>
              <a:latin typeface="Calibri"/>
              <a:ea typeface="Calibri"/>
              <a:cs typeface="Calibri"/>
            </a:endParaRPr>
          </a:p>
        </xdr:txBody>
      </xdr:sp>
    </xdr:grpSp>
    <xdr:clientData/>
  </xdr:twoCellAnchor>
  <xdr:twoCellAnchor>
    <xdr:from>
      <xdr:col>13</xdr:col>
      <xdr:colOff>367146</xdr:colOff>
      <xdr:row>8</xdr:row>
      <xdr:rowOff>44335</xdr:rowOff>
    </xdr:from>
    <xdr:to>
      <xdr:col>20</xdr:col>
      <xdr:colOff>180109</xdr:colOff>
      <xdr:row>15</xdr:row>
      <xdr:rowOff>69273</xdr:rowOff>
    </xdr:to>
    <xdr:grpSp>
      <xdr:nvGrpSpPr>
        <xdr:cNvPr id="33" name="Group 32">
          <a:extLst>
            <a:ext uri="{FF2B5EF4-FFF2-40B4-BE49-F238E27FC236}">
              <a16:creationId xmlns:a16="http://schemas.microsoft.com/office/drawing/2014/main" id="{EF39A447-EC61-70E2-231E-0CBE74618A51}"/>
            </a:ext>
          </a:extLst>
        </xdr:cNvPr>
        <xdr:cNvGrpSpPr/>
      </xdr:nvGrpSpPr>
      <xdr:grpSpPr>
        <a:xfrm>
          <a:off x="8291946" y="1524792"/>
          <a:ext cx="4080163" cy="1320338"/>
          <a:chOff x="5562600" y="1510937"/>
          <a:chExt cx="2727960" cy="1062446"/>
        </a:xfrm>
      </xdr:grpSpPr>
      <xdr:sp macro="" textlink="">
        <xdr:nvSpPr>
          <xdr:cNvPr id="7" name="Rectangle: Rounded Corners 6">
            <a:extLst>
              <a:ext uri="{FF2B5EF4-FFF2-40B4-BE49-F238E27FC236}">
                <a16:creationId xmlns:a16="http://schemas.microsoft.com/office/drawing/2014/main" id="{E03DC8DB-FDB7-491E-9A08-7C89531AB612}"/>
              </a:ext>
            </a:extLst>
          </xdr:cNvPr>
          <xdr:cNvSpPr/>
        </xdr:nvSpPr>
        <xdr:spPr>
          <a:xfrm>
            <a:off x="5562600" y="1510937"/>
            <a:ext cx="2697480" cy="1024346"/>
          </a:xfrm>
          <a:prstGeom prst="roundRect">
            <a:avLst>
              <a:gd name="adj" fmla="val 914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TextBox 18">
            <a:extLst>
              <a:ext uri="{FF2B5EF4-FFF2-40B4-BE49-F238E27FC236}">
                <a16:creationId xmlns:a16="http://schemas.microsoft.com/office/drawing/2014/main" id="{AF154CD9-2E04-438D-8667-D517A0069E07}"/>
              </a:ext>
            </a:extLst>
          </xdr:cNvPr>
          <xdr:cNvSpPr txBox="1"/>
        </xdr:nvSpPr>
        <xdr:spPr>
          <a:xfrm>
            <a:off x="6477000" y="1541417"/>
            <a:ext cx="1813560" cy="316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INACTIVE EMPLOYEES</a:t>
            </a:r>
          </a:p>
        </xdr:txBody>
      </xdr:sp>
      <xdr:graphicFrame macro="">
        <xdr:nvGraphicFramePr>
          <xdr:cNvPr id="26" name="Chart 25">
            <a:extLst>
              <a:ext uri="{FF2B5EF4-FFF2-40B4-BE49-F238E27FC236}">
                <a16:creationId xmlns:a16="http://schemas.microsoft.com/office/drawing/2014/main" id="{5F003334-B8EA-4739-AE0B-D063AE131FFA}"/>
              </a:ext>
            </a:extLst>
          </xdr:cNvPr>
          <xdr:cNvGraphicFramePr>
            <a:graphicFrameLocks/>
          </xdr:cNvGraphicFramePr>
        </xdr:nvGraphicFramePr>
        <xdr:xfrm>
          <a:off x="5585460" y="1556657"/>
          <a:ext cx="1127760" cy="910046"/>
        </xdr:xfrm>
        <a:graphic>
          <a:graphicData uri="http://schemas.openxmlformats.org/drawingml/2006/chart">
            <c:chart xmlns:c="http://schemas.openxmlformats.org/drawingml/2006/chart" xmlns:r="http://schemas.openxmlformats.org/officeDocument/2006/relationships" r:id="rId3"/>
          </a:graphicData>
        </a:graphic>
      </xdr:graphicFrame>
      <xdr:sp macro="" textlink="Pivot!B10">
        <xdr:nvSpPr>
          <xdr:cNvPr id="28" name="TextBox 27">
            <a:extLst>
              <a:ext uri="{FF2B5EF4-FFF2-40B4-BE49-F238E27FC236}">
                <a16:creationId xmlns:a16="http://schemas.microsoft.com/office/drawing/2014/main" id="{1BC8B75F-A57B-4B2A-9E54-2EB1B51192B1}"/>
              </a:ext>
            </a:extLst>
          </xdr:cNvPr>
          <xdr:cNvSpPr txBox="1"/>
        </xdr:nvSpPr>
        <xdr:spPr>
          <a:xfrm>
            <a:off x="7132320" y="1825534"/>
            <a:ext cx="777240" cy="494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A569A27-B966-423F-AC46-4940E2804AE7}" type="TxLink">
              <a:rPr lang="en-US" sz="3000" b="0" i="0" u="none" strike="noStrike">
                <a:solidFill>
                  <a:srgbClr val="000000"/>
                </a:solidFill>
                <a:latin typeface="Calibri"/>
                <a:ea typeface="Calibri"/>
                <a:cs typeface="Calibri"/>
              </a:rPr>
              <a:pPr marL="0" indent="0"/>
              <a:t>9</a:t>
            </a:fld>
            <a:endParaRPr lang="en-IN" sz="3000" b="0" i="0" u="none" strike="noStrike">
              <a:solidFill>
                <a:srgbClr val="000000"/>
              </a:solidFill>
              <a:latin typeface="Calibri"/>
              <a:ea typeface="Calibri"/>
              <a:cs typeface="Calibri"/>
            </a:endParaRPr>
          </a:p>
        </xdr:txBody>
      </xdr:sp>
      <xdr:sp macro="" textlink="Pivot!C10">
        <xdr:nvSpPr>
          <xdr:cNvPr id="30" name="TextBox 29">
            <a:extLst>
              <a:ext uri="{FF2B5EF4-FFF2-40B4-BE49-F238E27FC236}">
                <a16:creationId xmlns:a16="http://schemas.microsoft.com/office/drawing/2014/main" id="{47A19AC4-3348-4032-A73F-2FF5E7EF4C42}"/>
              </a:ext>
            </a:extLst>
          </xdr:cNvPr>
          <xdr:cNvSpPr txBox="1"/>
        </xdr:nvSpPr>
        <xdr:spPr>
          <a:xfrm>
            <a:off x="7658100" y="2235926"/>
            <a:ext cx="502920" cy="337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5814C4D-1E27-454E-9245-0F71720B0E1F}" type="TxLink">
              <a:rPr lang="en-US" sz="1400" b="0" i="0" u="none" strike="noStrike">
                <a:solidFill>
                  <a:srgbClr val="000000"/>
                </a:solidFill>
                <a:latin typeface="Calibri"/>
                <a:ea typeface="Calibri"/>
                <a:cs typeface="Calibri"/>
              </a:rPr>
              <a:pPr marL="0" indent="0"/>
              <a:t>9%</a:t>
            </a:fld>
            <a:endParaRPr lang="en-IN" sz="1600" b="0" i="0" u="none" strike="noStrike">
              <a:solidFill>
                <a:srgbClr val="000000"/>
              </a:solidFill>
              <a:latin typeface="Calibri"/>
              <a:ea typeface="Calibri"/>
              <a:cs typeface="Calibri"/>
            </a:endParaRPr>
          </a:p>
        </xdr:txBody>
      </xdr:sp>
    </xdr:grpSp>
    <xdr:clientData/>
  </xdr:twoCellAnchor>
  <xdr:twoCellAnchor>
    <xdr:from>
      <xdr:col>0</xdr:col>
      <xdr:colOff>106679</xdr:colOff>
      <xdr:row>16</xdr:row>
      <xdr:rowOff>13855</xdr:rowOff>
    </xdr:from>
    <xdr:to>
      <xdr:col>6</xdr:col>
      <xdr:colOff>138544</xdr:colOff>
      <xdr:row>43</xdr:row>
      <xdr:rowOff>119743</xdr:rowOff>
    </xdr:to>
    <xdr:grpSp>
      <xdr:nvGrpSpPr>
        <xdr:cNvPr id="36" name="Group 35">
          <a:extLst>
            <a:ext uri="{FF2B5EF4-FFF2-40B4-BE49-F238E27FC236}">
              <a16:creationId xmlns:a16="http://schemas.microsoft.com/office/drawing/2014/main" id="{09905E1B-5B02-5AE0-CA73-77E7310FAE20}"/>
            </a:ext>
          </a:extLst>
        </xdr:cNvPr>
        <xdr:cNvGrpSpPr/>
      </xdr:nvGrpSpPr>
      <xdr:grpSpPr>
        <a:xfrm>
          <a:off x="106679" y="2974769"/>
          <a:ext cx="3689465" cy="5102431"/>
          <a:chOff x="106679" y="2895600"/>
          <a:chExt cx="3689465" cy="4968834"/>
        </a:xfrm>
      </xdr:grpSpPr>
      <xdr:sp macro="" textlink="">
        <xdr:nvSpPr>
          <xdr:cNvPr id="9" name="Rectangle: Rounded Corners 8">
            <a:extLst>
              <a:ext uri="{FF2B5EF4-FFF2-40B4-BE49-F238E27FC236}">
                <a16:creationId xmlns:a16="http://schemas.microsoft.com/office/drawing/2014/main" id="{414CA245-0D3B-4E51-90C5-792D970E1333}"/>
              </a:ext>
            </a:extLst>
          </xdr:cNvPr>
          <xdr:cNvSpPr/>
        </xdr:nvSpPr>
        <xdr:spPr>
          <a:xfrm>
            <a:off x="106679" y="2895600"/>
            <a:ext cx="3689465" cy="4968834"/>
          </a:xfrm>
          <a:prstGeom prst="roundRect">
            <a:avLst>
              <a:gd name="adj" fmla="val 506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1" name="Chart 30">
            <a:extLst>
              <a:ext uri="{FF2B5EF4-FFF2-40B4-BE49-F238E27FC236}">
                <a16:creationId xmlns:a16="http://schemas.microsoft.com/office/drawing/2014/main" id="{6223FC99-4E26-43DF-BE44-C7DE7F56437E}"/>
              </a:ext>
            </a:extLst>
          </xdr:cNvPr>
          <xdr:cNvGraphicFramePr>
            <a:graphicFrameLocks/>
          </xdr:cNvGraphicFramePr>
        </xdr:nvGraphicFramePr>
        <xdr:xfrm>
          <a:off x="259278" y="3363687"/>
          <a:ext cx="3367788" cy="4303383"/>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35" name="TextBox 34">
            <a:extLst>
              <a:ext uri="{FF2B5EF4-FFF2-40B4-BE49-F238E27FC236}">
                <a16:creationId xmlns:a16="http://schemas.microsoft.com/office/drawing/2014/main" id="{E44CB25D-1881-E368-212C-7996E1281551}"/>
              </a:ext>
            </a:extLst>
          </xdr:cNvPr>
          <xdr:cNvSpPr txBox="1"/>
        </xdr:nvSpPr>
        <xdr:spPr>
          <a:xfrm>
            <a:off x="498764" y="3020291"/>
            <a:ext cx="3158836" cy="498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TOP 10 PAID EMPLOYEES</a:t>
            </a:r>
          </a:p>
        </xdr:txBody>
      </xdr:sp>
    </xdr:grpSp>
    <xdr:clientData/>
  </xdr:twoCellAnchor>
  <xdr:twoCellAnchor>
    <xdr:from>
      <xdr:col>6</xdr:col>
      <xdr:colOff>413659</xdr:colOff>
      <xdr:row>16</xdr:row>
      <xdr:rowOff>131086</xdr:rowOff>
    </xdr:from>
    <xdr:to>
      <xdr:col>13</xdr:col>
      <xdr:colOff>218456</xdr:colOff>
      <xdr:row>27</xdr:row>
      <xdr:rowOff>73489</xdr:rowOff>
    </xdr:to>
    <xdr:grpSp>
      <xdr:nvGrpSpPr>
        <xdr:cNvPr id="57" name="Group 56">
          <a:extLst>
            <a:ext uri="{FF2B5EF4-FFF2-40B4-BE49-F238E27FC236}">
              <a16:creationId xmlns:a16="http://schemas.microsoft.com/office/drawing/2014/main" id="{2C2C2E29-2F11-8389-25A8-45F5757F1498}"/>
            </a:ext>
          </a:extLst>
        </xdr:cNvPr>
        <xdr:cNvGrpSpPr/>
      </xdr:nvGrpSpPr>
      <xdr:grpSpPr>
        <a:xfrm>
          <a:off x="4071259" y="3092000"/>
          <a:ext cx="4071997" cy="1978032"/>
          <a:chOff x="4071259" y="3057166"/>
          <a:chExt cx="4071997" cy="1954083"/>
        </a:xfrm>
      </xdr:grpSpPr>
      <xdr:graphicFrame macro="">
        <xdr:nvGraphicFramePr>
          <xdr:cNvPr id="37" name="Chart 36">
            <a:extLst>
              <a:ext uri="{FF2B5EF4-FFF2-40B4-BE49-F238E27FC236}">
                <a16:creationId xmlns:a16="http://schemas.microsoft.com/office/drawing/2014/main" id="{0195F3B4-19EA-4B23-8129-4C7EBCF166CA}"/>
              </a:ext>
            </a:extLst>
          </xdr:cNvPr>
          <xdr:cNvGraphicFramePr>
            <a:graphicFrameLocks/>
          </xdr:cNvGraphicFramePr>
        </xdr:nvGraphicFramePr>
        <xdr:xfrm>
          <a:off x="4147028" y="3354245"/>
          <a:ext cx="3955472" cy="1657004"/>
        </xdr:xfrm>
        <a:graphic>
          <a:graphicData uri="http://schemas.openxmlformats.org/drawingml/2006/chart">
            <c:chart xmlns:c="http://schemas.openxmlformats.org/drawingml/2006/chart" xmlns:r="http://schemas.openxmlformats.org/officeDocument/2006/relationships" r:id="rId5"/>
          </a:graphicData>
        </a:graphic>
      </xdr:graphicFrame>
      <xdr:pic>
        <xdr:nvPicPr>
          <xdr:cNvPr id="38" name="Picture 37" descr="Male Female Vector Art, Icons, and Graphics for Free Download">
            <a:extLst>
              <a:ext uri="{FF2B5EF4-FFF2-40B4-BE49-F238E27FC236}">
                <a16:creationId xmlns:a16="http://schemas.microsoft.com/office/drawing/2014/main" id="{C1425CE4-7D93-58E6-A1B3-61CB83980F56}"/>
              </a:ext>
            </a:extLst>
          </xdr:cNvPr>
          <xdr:cNvPicPr>
            <a:picLocks noChangeAspect="1" noChangeArrowheads="1"/>
          </xdr:cNvPicPr>
        </xdr:nvPicPr>
        <xdr:blipFill rotWithShape="1">
          <a:blip xmlns:r="http://schemas.openxmlformats.org/officeDocument/2006/relationships" r:embed="rId6" cstate="print">
            <a:extLst>
              <a:ext uri="{BEBA8EAE-BF5A-486C-A8C5-ECC9F3942E4B}">
                <a14:imgProps xmlns:a14="http://schemas.microsoft.com/office/drawing/2010/main">
                  <a14:imgLayer r:embed="rId7">
                    <a14:imgEffect>
                      <a14:backgroundRemoval t="10000" b="90000" l="10000" r="47143">
                        <a14:foregroundMark x1="29571" y1="19857" x2="29571" y2="19857"/>
                      </a14:backgroundRemoval>
                    </a14:imgEffect>
                  </a14:imgLayer>
                </a14:imgProps>
              </a:ext>
              <a:ext uri="{28A0092B-C50C-407E-A947-70E740481C1C}">
                <a14:useLocalDpi xmlns:a14="http://schemas.microsoft.com/office/drawing/2010/main" val="0"/>
              </a:ext>
            </a:extLst>
          </a:blip>
          <a:srcRect r="47107"/>
          <a:stretch>
            <a:fillRect/>
          </a:stretch>
        </xdr:blipFill>
        <xdr:spPr bwMode="auto">
          <a:xfrm>
            <a:off x="4071259" y="3240760"/>
            <a:ext cx="424542" cy="811267"/>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9" name="Picture 38">
            <a:extLst>
              <a:ext uri="{FF2B5EF4-FFF2-40B4-BE49-F238E27FC236}">
                <a16:creationId xmlns:a16="http://schemas.microsoft.com/office/drawing/2014/main" id="{C87423BC-5E64-B110-1F6B-CC8553A43D47}"/>
              </a:ext>
            </a:extLst>
          </xdr:cNvPr>
          <xdr:cNvPicPr>
            <a:picLocks noChangeAspect="1"/>
          </xdr:cNvPicPr>
        </xdr:nvPicPr>
        <xdr:blipFill rotWithShape="1">
          <a:blip xmlns:r="http://schemas.openxmlformats.org/officeDocument/2006/relationships" r:embed="rId8">
            <a:extLst>
              <a:ext uri="{BEBA8EAE-BF5A-486C-A8C5-ECC9F3942E4B}">
                <a14:imgProps xmlns:a14="http://schemas.microsoft.com/office/drawing/2010/main">
                  <a14:imgLayer r:embed="rId9">
                    <a14:imgEffect>
                      <a14:backgroundRemoval t="10000" b="90000" l="47857" r="90000">
                        <a14:foregroundMark x1="68714" y1="19143" x2="68714" y2="19143"/>
                      </a14:backgroundRemoval>
                    </a14:imgEffect>
                  </a14:imgLayer>
                </a14:imgProps>
              </a:ext>
            </a:extLst>
          </a:blip>
          <a:srcRect l="40602"/>
          <a:stretch>
            <a:fillRect/>
          </a:stretch>
        </xdr:blipFill>
        <xdr:spPr>
          <a:xfrm>
            <a:off x="7672753" y="3268821"/>
            <a:ext cx="470503" cy="801431"/>
          </a:xfrm>
          <a:prstGeom prst="rect">
            <a:avLst/>
          </a:prstGeom>
        </xdr:spPr>
      </xdr:pic>
      <xdr:sp macro="" textlink="">
        <xdr:nvSpPr>
          <xdr:cNvPr id="40" name="TextBox 39">
            <a:extLst>
              <a:ext uri="{FF2B5EF4-FFF2-40B4-BE49-F238E27FC236}">
                <a16:creationId xmlns:a16="http://schemas.microsoft.com/office/drawing/2014/main" id="{2241767D-4133-C0AF-C517-AEFF16CC61EF}"/>
              </a:ext>
            </a:extLst>
          </xdr:cNvPr>
          <xdr:cNvSpPr txBox="1"/>
        </xdr:nvSpPr>
        <xdr:spPr>
          <a:xfrm>
            <a:off x="4431322" y="3379765"/>
            <a:ext cx="521677" cy="235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0099FF"/>
                </a:solidFill>
              </a:rPr>
              <a:t>Male</a:t>
            </a:r>
          </a:p>
        </xdr:txBody>
      </xdr:sp>
      <xdr:sp macro="" textlink="Pivot!J19">
        <xdr:nvSpPr>
          <xdr:cNvPr id="41" name="TextBox 40">
            <a:extLst>
              <a:ext uri="{FF2B5EF4-FFF2-40B4-BE49-F238E27FC236}">
                <a16:creationId xmlns:a16="http://schemas.microsoft.com/office/drawing/2014/main" id="{8A3085A8-139B-44A8-A9AE-1EAB1DDCC913}"/>
              </a:ext>
            </a:extLst>
          </xdr:cNvPr>
          <xdr:cNvSpPr txBox="1"/>
        </xdr:nvSpPr>
        <xdr:spPr>
          <a:xfrm>
            <a:off x="4431322" y="3603675"/>
            <a:ext cx="521677" cy="236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483F538-46D8-4A91-A486-06FA6D3C0769}" type="TxLink">
              <a:rPr lang="en-US" sz="1100">
                <a:solidFill>
                  <a:srgbClr val="0099FF"/>
                </a:solidFill>
                <a:latin typeface="+mn-lt"/>
                <a:ea typeface="+mn-ea"/>
                <a:cs typeface="+mn-cs"/>
              </a:rPr>
              <a:pPr marL="0" indent="0"/>
              <a:t>46</a:t>
            </a:fld>
            <a:endParaRPr lang="en-IN" sz="1100">
              <a:solidFill>
                <a:srgbClr val="0099FF"/>
              </a:solidFill>
              <a:latin typeface="+mn-lt"/>
              <a:ea typeface="+mn-ea"/>
              <a:cs typeface="+mn-cs"/>
            </a:endParaRPr>
          </a:p>
        </xdr:txBody>
      </xdr:sp>
      <xdr:sp macro="" textlink="">
        <xdr:nvSpPr>
          <xdr:cNvPr id="42" name="TextBox 41">
            <a:extLst>
              <a:ext uri="{FF2B5EF4-FFF2-40B4-BE49-F238E27FC236}">
                <a16:creationId xmlns:a16="http://schemas.microsoft.com/office/drawing/2014/main" id="{00C1B666-C75A-434F-A20B-743ACBE6B777}"/>
              </a:ext>
            </a:extLst>
          </xdr:cNvPr>
          <xdr:cNvSpPr txBox="1"/>
        </xdr:nvSpPr>
        <xdr:spPr>
          <a:xfrm>
            <a:off x="7139354" y="3350456"/>
            <a:ext cx="521677" cy="235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100">
                <a:solidFill>
                  <a:srgbClr val="FF3399"/>
                </a:solidFill>
              </a:rPr>
              <a:t>Feale</a:t>
            </a:r>
          </a:p>
        </xdr:txBody>
      </xdr:sp>
      <xdr:sp macro="" textlink="Pivot!L19">
        <xdr:nvSpPr>
          <xdr:cNvPr id="43" name="TextBox 42">
            <a:extLst>
              <a:ext uri="{FF2B5EF4-FFF2-40B4-BE49-F238E27FC236}">
                <a16:creationId xmlns:a16="http://schemas.microsoft.com/office/drawing/2014/main" id="{71719927-C9CC-4F1C-AFB7-11EC2263CB26}"/>
              </a:ext>
            </a:extLst>
          </xdr:cNvPr>
          <xdr:cNvSpPr txBox="1"/>
        </xdr:nvSpPr>
        <xdr:spPr>
          <a:xfrm>
            <a:off x="7162800" y="3533336"/>
            <a:ext cx="521677" cy="235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2166EC37-CD2B-4F90-B129-892B20D9D409}" type="TxLink">
              <a:rPr lang="en-US" sz="1100" b="0" i="0" u="none" strike="noStrike">
                <a:solidFill>
                  <a:srgbClr val="FF3399"/>
                </a:solidFill>
                <a:latin typeface="Calibri"/>
                <a:ea typeface="Calibri"/>
                <a:cs typeface="Calibri"/>
              </a:rPr>
              <a:pPr marL="0" indent="0" algn="r"/>
              <a:t>45</a:t>
            </a:fld>
            <a:endParaRPr lang="en-IN" sz="1100">
              <a:solidFill>
                <a:srgbClr val="FF3399"/>
              </a:solidFill>
              <a:latin typeface="+mn-lt"/>
              <a:ea typeface="+mn-ea"/>
              <a:cs typeface="+mn-cs"/>
            </a:endParaRPr>
          </a:p>
        </xdr:txBody>
      </xdr:sp>
      <xdr:sp macro="" textlink="">
        <xdr:nvSpPr>
          <xdr:cNvPr id="44" name="TextBox 43">
            <a:extLst>
              <a:ext uri="{FF2B5EF4-FFF2-40B4-BE49-F238E27FC236}">
                <a16:creationId xmlns:a16="http://schemas.microsoft.com/office/drawing/2014/main" id="{586B998F-D99E-46F9-B008-DDFE3393415E}"/>
              </a:ext>
            </a:extLst>
          </xdr:cNvPr>
          <xdr:cNvSpPr txBox="1"/>
        </xdr:nvSpPr>
        <xdr:spPr>
          <a:xfrm>
            <a:off x="4678678" y="3057166"/>
            <a:ext cx="2859259" cy="367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EMPLOYEES AGE GROUP</a:t>
            </a:r>
          </a:p>
        </xdr:txBody>
      </xdr:sp>
    </xdr:grpSp>
    <xdr:clientData/>
  </xdr:twoCellAnchor>
  <xdr:twoCellAnchor>
    <xdr:from>
      <xdr:col>13</xdr:col>
      <xdr:colOff>417928</xdr:colOff>
      <xdr:row>16</xdr:row>
      <xdr:rowOff>85166</xdr:rowOff>
    </xdr:from>
    <xdr:to>
      <xdr:col>20</xdr:col>
      <xdr:colOff>371060</xdr:colOff>
      <xdr:row>27</xdr:row>
      <xdr:rowOff>131366</xdr:rowOff>
    </xdr:to>
    <xdr:grpSp>
      <xdr:nvGrpSpPr>
        <xdr:cNvPr id="58" name="Group 57">
          <a:extLst>
            <a:ext uri="{FF2B5EF4-FFF2-40B4-BE49-F238E27FC236}">
              <a16:creationId xmlns:a16="http://schemas.microsoft.com/office/drawing/2014/main" id="{CD4FE08A-0A2A-AFC2-D591-5D206E8D9B7F}"/>
            </a:ext>
          </a:extLst>
        </xdr:cNvPr>
        <xdr:cNvGrpSpPr/>
      </xdr:nvGrpSpPr>
      <xdr:grpSpPr>
        <a:xfrm>
          <a:off x="8342728" y="3046080"/>
          <a:ext cx="4220332" cy="2081829"/>
          <a:chOff x="8342728" y="3038141"/>
          <a:chExt cx="4220332" cy="2057880"/>
        </a:xfrm>
      </xdr:grpSpPr>
      <xdr:sp macro="" textlink="">
        <xdr:nvSpPr>
          <xdr:cNvPr id="11" name="Rectangle: Rounded Corners 10">
            <a:extLst>
              <a:ext uri="{FF2B5EF4-FFF2-40B4-BE49-F238E27FC236}">
                <a16:creationId xmlns:a16="http://schemas.microsoft.com/office/drawing/2014/main" id="{18F533D4-4915-4B2D-92AC-09CFCD5F1C83}"/>
              </a:ext>
            </a:extLst>
          </xdr:cNvPr>
          <xdr:cNvSpPr/>
        </xdr:nvSpPr>
        <xdr:spPr>
          <a:xfrm>
            <a:off x="8342728" y="3038141"/>
            <a:ext cx="3972364" cy="2057880"/>
          </a:xfrm>
          <a:prstGeom prst="roundRect">
            <a:avLst>
              <a:gd name="adj" fmla="val 506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5" name="Chart 44">
            <a:extLst>
              <a:ext uri="{FF2B5EF4-FFF2-40B4-BE49-F238E27FC236}">
                <a16:creationId xmlns:a16="http://schemas.microsoft.com/office/drawing/2014/main" id="{EAC9B11E-C8FB-4876-BFAB-E2F3566756B6}"/>
              </a:ext>
            </a:extLst>
          </xdr:cNvPr>
          <xdr:cNvGraphicFramePr>
            <a:graphicFrameLocks/>
          </xdr:cNvGraphicFramePr>
        </xdr:nvGraphicFramePr>
        <xdr:xfrm>
          <a:off x="8862645" y="3315979"/>
          <a:ext cx="2836985" cy="1750734"/>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47" name="TextBox 46">
            <a:extLst>
              <a:ext uri="{FF2B5EF4-FFF2-40B4-BE49-F238E27FC236}">
                <a16:creationId xmlns:a16="http://schemas.microsoft.com/office/drawing/2014/main" id="{60B8BCD5-7E89-4940-A05F-8C0C8DDDD5C9}"/>
              </a:ext>
            </a:extLst>
          </xdr:cNvPr>
          <xdr:cNvSpPr txBox="1"/>
        </xdr:nvSpPr>
        <xdr:spPr>
          <a:xfrm>
            <a:off x="8561563" y="3077044"/>
            <a:ext cx="4001497" cy="367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EMPLOYEE COUNT BY DEPARTMENT</a:t>
            </a:r>
          </a:p>
        </xdr:txBody>
      </xdr:sp>
    </xdr:grpSp>
    <xdr:clientData/>
  </xdr:twoCellAnchor>
  <xdr:twoCellAnchor>
    <xdr:from>
      <xdr:col>20</xdr:col>
      <xdr:colOff>314071</xdr:colOff>
      <xdr:row>16</xdr:row>
      <xdr:rowOff>80902</xdr:rowOff>
    </xdr:from>
    <xdr:to>
      <xdr:col>27</xdr:col>
      <xdr:colOff>332508</xdr:colOff>
      <xdr:row>28</xdr:row>
      <xdr:rowOff>813</xdr:rowOff>
    </xdr:to>
    <xdr:grpSp>
      <xdr:nvGrpSpPr>
        <xdr:cNvPr id="59" name="Group 58">
          <a:extLst>
            <a:ext uri="{FF2B5EF4-FFF2-40B4-BE49-F238E27FC236}">
              <a16:creationId xmlns:a16="http://schemas.microsoft.com/office/drawing/2014/main" id="{CCF05743-0BFE-E006-9626-6AAA6B8CA422}"/>
            </a:ext>
          </a:extLst>
        </xdr:cNvPr>
        <xdr:cNvGrpSpPr/>
      </xdr:nvGrpSpPr>
      <xdr:grpSpPr>
        <a:xfrm>
          <a:off x="12506071" y="3041816"/>
          <a:ext cx="4285637" cy="2140597"/>
          <a:chOff x="12506071" y="3033877"/>
          <a:chExt cx="4285637" cy="2114471"/>
        </a:xfrm>
      </xdr:grpSpPr>
      <xdr:sp macro="" textlink="">
        <xdr:nvSpPr>
          <xdr:cNvPr id="12" name="Rectangle: Rounded Corners 11">
            <a:extLst>
              <a:ext uri="{FF2B5EF4-FFF2-40B4-BE49-F238E27FC236}">
                <a16:creationId xmlns:a16="http://schemas.microsoft.com/office/drawing/2014/main" id="{400A5C9B-E8C9-4DA2-8312-B0FE979C2227}"/>
              </a:ext>
            </a:extLst>
          </xdr:cNvPr>
          <xdr:cNvSpPr/>
        </xdr:nvSpPr>
        <xdr:spPr>
          <a:xfrm>
            <a:off x="12506071" y="3033877"/>
            <a:ext cx="4285637" cy="2114471"/>
          </a:xfrm>
          <a:prstGeom prst="roundRect">
            <a:avLst>
              <a:gd name="adj" fmla="val 506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6" name="Chart 45">
            <a:extLst>
              <a:ext uri="{FF2B5EF4-FFF2-40B4-BE49-F238E27FC236}">
                <a16:creationId xmlns:a16="http://schemas.microsoft.com/office/drawing/2014/main" id="{4D0BBBF7-26CF-4E82-8170-51E2409BF035}"/>
              </a:ext>
            </a:extLst>
          </xdr:cNvPr>
          <xdr:cNvGraphicFramePr>
            <a:graphicFrameLocks/>
          </xdr:cNvGraphicFramePr>
        </xdr:nvGraphicFramePr>
        <xdr:xfrm>
          <a:off x="12616070" y="3298466"/>
          <a:ext cx="4121426" cy="1804946"/>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48" name="TextBox 47">
            <a:extLst>
              <a:ext uri="{FF2B5EF4-FFF2-40B4-BE49-F238E27FC236}">
                <a16:creationId xmlns:a16="http://schemas.microsoft.com/office/drawing/2014/main" id="{823B0B26-11CD-4AC2-9545-C78501B0399D}"/>
              </a:ext>
            </a:extLst>
          </xdr:cNvPr>
          <xdr:cNvSpPr txBox="1"/>
        </xdr:nvSpPr>
        <xdr:spPr>
          <a:xfrm>
            <a:off x="13140189" y="3057166"/>
            <a:ext cx="3444907" cy="367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AVG YEAR OF SERVICE BY GENDER</a:t>
            </a:r>
          </a:p>
        </xdr:txBody>
      </xdr:sp>
    </xdr:grpSp>
    <xdr:clientData/>
  </xdr:twoCellAnchor>
  <xdr:twoCellAnchor>
    <xdr:from>
      <xdr:col>6</xdr:col>
      <xdr:colOff>367611</xdr:colOff>
      <xdr:row>28</xdr:row>
      <xdr:rowOff>85448</xdr:rowOff>
    </xdr:from>
    <xdr:to>
      <xdr:col>16</xdr:col>
      <xdr:colOff>152400</xdr:colOff>
      <xdr:row>43</xdr:row>
      <xdr:rowOff>98610</xdr:rowOff>
    </xdr:to>
    <xdr:grpSp>
      <xdr:nvGrpSpPr>
        <xdr:cNvPr id="56" name="Group 55">
          <a:extLst>
            <a:ext uri="{FF2B5EF4-FFF2-40B4-BE49-F238E27FC236}">
              <a16:creationId xmlns:a16="http://schemas.microsoft.com/office/drawing/2014/main" id="{23D74D88-9068-C259-26A5-27B856BBE26F}"/>
            </a:ext>
          </a:extLst>
        </xdr:cNvPr>
        <xdr:cNvGrpSpPr/>
      </xdr:nvGrpSpPr>
      <xdr:grpSpPr>
        <a:xfrm>
          <a:off x="4025211" y="5267048"/>
          <a:ext cx="5880789" cy="2789019"/>
          <a:chOff x="4087964" y="5320837"/>
          <a:chExt cx="4718106" cy="2789019"/>
        </a:xfrm>
      </xdr:grpSpPr>
      <xdr:sp macro="" textlink="">
        <xdr:nvSpPr>
          <xdr:cNvPr id="13" name="Rectangle: Rounded Corners 12">
            <a:extLst>
              <a:ext uri="{FF2B5EF4-FFF2-40B4-BE49-F238E27FC236}">
                <a16:creationId xmlns:a16="http://schemas.microsoft.com/office/drawing/2014/main" id="{E3282CBD-6207-4303-8F5C-562F644C6A22}"/>
              </a:ext>
            </a:extLst>
          </xdr:cNvPr>
          <xdr:cNvSpPr/>
        </xdr:nvSpPr>
        <xdr:spPr>
          <a:xfrm>
            <a:off x="4087964" y="5320837"/>
            <a:ext cx="4718106" cy="2789019"/>
          </a:xfrm>
          <a:prstGeom prst="roundRect">
            <a:avLst>
              <a:gd name="adj" fmla="val 506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9" name="Chart 48">
            <a:extLst>
              <a:ext uri="{FF2B5EF4-FFF2-40B4-BE49-F238E27FC236}">
                <a16:creationId xmlns:a16="http://schemas.microsoft.com/office/drawing/2014/main" id="{F42E956F-379F-4574-9F56-DE437371C13C}"/>
              </a:ext>
            </a:extLst>
          </xdr:cNvPr>
          <xdr:cNvGraphicFramePr>
            <a:graphicFrameLocks/>
          </xdr:cNvGraphicFramePr>
        </xdr:nvGraphicFramePr>
        <xdr:xfrm>
          <a:off x="4134347" y="6001342"/>
          <a:ext cx="4572000" cy="2042343"/>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50" name="TextBox 49">
            <a:extLst>
              <a:ext uri="{FF2B5EF4-FFF2-40B4-BE49-F238E27FC236}">
                <a16:creationId xmlns:a16="http://schemas.microsoft.com/office/drawing/2014/main" id="{7F4EAE98-C512-4361-B057-11F6B28E31F1}"/>
              </a:ext>
            </a:extLst>
          </xdr:cNvPr>
          <xdr:cNvSpPr txBox="1"/>
        </xdr:nvSpPr>
        <xdr:spPr>
          <a:xfrm>
            <a:off x="4791322" y="5451360"/>
            <a:ext cx="3212992" cy="371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EXIT COUNT BY AGE &amp; GENDER</a:t>
            </a:r>
          </a:p>
        </xdr:txBody>
      </xdr:sp>
    </xdr:grpSp>
    <xdr:clientData/>
  </xdr:twoCellAnchor>
  <xdr:twoCellAnchor>
    <xdr:from>
      <xdr:col>16</xdr:col>
      <xdr:colOff>259976</xdr:colOff>
      <xdr:row>28</xdr:row>
      <xdr:rowOff>125506</xdr:rowOff>
    </xdr:from>
    <xdr:to>
      <xdr:col>27</xdr:col>
      <xdr:colOff>326572</xdr:colOff>
      <xdr:row>43</xdr:row>
      <xdr:rowOff>108857</xdr:rowOff>
    </xdr:to>
    <xdr:grpSp>
      <xdr:nvGrpSpPr>
        <xdr:cNvPr id="55" name="Group 54">
          <a:extLst>
            <a:ext uri="{FF2B5EF4-FFF2-40B4-BE49-F238E27FC236}">
              <a16:creationId xmlns:a16="http://schemas.microsoft.com/office/drawing/2014/main" id="{D3A683FF-2553-8692-2ACC-6E0FE1B73609}"/>
            </a:ext>
          </a:extLst>
        </xdr:cNvPr>
        <xdr:cNvGrpSpPr/>
      </xdr:nvGrpSpPr>
      <xdr:grpSpPr>
        <a:xfrm>
          <a:off x="10013576" y="5307106"/>
          <a:ext cx="6772196" cy="2759208"/>
          <a:chOff x="9791700" y="5330141"/>
          <a:chExt cx="6057900" cy="2627316"/>
        </a:xfrm>
      </xdr:grpSpPr>
      <xdr:sp macro="" textlink="">
        <xdr:nvSpPr>
          <xdr:cNvPr id="14" name="Rectangle: Rounded Corners 13">
            <a:extLst>
              <a:ext uri="{FF2B5EF4-FFF2-40B4-BE49-F238E27FC236}">
                <a16:creationId xmlns:a16="http://schemas.microsoft.com/office/drawing/2014/main" id="{03AA083C-3203-40CC-ABCE-718BFD2C56C3}"/>
              </a:ext>
            </a:extLst>
          </xdr:cNvPr>
          <xdr:cNvSpPr/>
        </xdr:nvSpPr>
        <xdr:spPr>
          <a:xfrm>
            <a:off x="9791700" y="5330141"/>
            <a:ext cx="6057900" cy="2627316"/>
          </a:xfrm>
          <a:prstGeom prst="roundRect">
            <a:avLst>
              <a:gd name="adj" fmla="val 506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1" name="Chart 50">
            <a:extLst>
              <a:ext uri="{FF2B5EF4-FFF2-40B4-BE49-F238E27FC236}">
                <a16:creationId xmlns:a16="http://schemas.microsoft.com/office/drawing/2014/main" id="{21E5986C-7263-4745-A9A0-0CECA67C29F2}"/>
              </a:ext>
            </a:extLst>
          </xdr:cNvPr>
          <xdr:cNvGraphicFramePr>
            <a:graphicFrameLocks/>
          </xdr:cNvGraphicFramePr>
        </xdr:nvGraphicFramePr>
        <xdr:xfrm>
          <a:off x="9933213" y="5856514"/>
          <a:ext cx="5644243" cy="1948543"/>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52" name="TextBox 51">
            <a:extLst>
              <a:ext uri="{FF2B5EF4-FFF2-40B4-BE49-F238E27FC236}">
                <a16:creationId xmlns:a16="http://schemas.microsoft.com/office/drawing/2014/main" id="{0C7261C2-604C-478B-AE01-03CA3169D37A}"/>
              </a:ext>
            </a:extLst>
          </xdr:cNvPr>
          <xdr:cNvSpPr txBox="1"/>
        </xdr:nvSpPr>
        <xdr:spPr>
          <a:xfrm>
            <a:off x="11039722" y="5378000"/>
            <a:ext cx="4102306" cy="371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EXIT COUNT BY DEPARTMENT &amp; GENDER</a:t>
            </a:r>
          </a:p>
        </xdr:txBody>
      </xdr:sp>
    </xdr:grpSp>
    <xdr:clientData/>
  </xdr:twoCellAnchor>
  <xdr:twoCellAnchor editAs="oneCell">
    <xdr:from>
      <xdr:col>20</xdr:col>
      <xdr:colOff>434340</xdr:colOff>
      <xdr:row>8</xdr:row>
      <xdr:rowOff>114300</xdr:rowOff>
    </xdr:from>
    <xdr:to>
      <xdr:col>27</xdr:col>
      <xdr:colOff>259080</xdr:colOff>
      <xdr:row>14</xdr:row>
      <xdr:rowOff>152400</xdr:rowOff>
    </xdr:to>
    <mc:AlternateContent xmlns:mc="http://schemas.openxmlformats.org/markup-compatibility/2006" xmlns:a14="http://schemas.microsoft.com/office/drawing/2010/main">
      <mc:Choice Requires="a14">
        <xdr:graphicFrame macro="">
          <xdr:nvGraphicFramePr>
            <xdr:cNvPr id="60" name="Business">
              <a:extLst>
                <a:ext uri="{FF2B5EF4-FFF2-40B4-BE49-F238E27FC236}">
                  <a16:creationId xmlns:a16="http://schemas.microsoft.com/office/drawing/2014/main" id="{F04E1C93-9F72-4A33-8E36-892B3EC90C32}"/>
                </a:ext>
              </a:extLst>
            </xdr:cNvPr>
            <xdr:cNvGraphicFramePr/>
          </xdr:nvGraphicFramePr>
          <xdr:xfrm>
            <a:off x="0" y="0"/>
            <a:ext cx="0" cy="0"/>
          </xdr:xfrm>
          <a:graphic>
            <a:graphicData uri="http://schemas.microsoft.com/office/drawing/2010/slicer">
              <sle:slicer xmlns:sle="http://schemas.microsoft.com/office/drawing/2010/slicer" name="Business"/>
            </a:graphicData>
          </a:graphic>
        </xdr:graphicFrame>
      </mc:Choice>
      <mc:Fallback xmlns="">
        <xdr:sp macro="" textlink="">
          <xdr:nvSpPr>
            <xdr:cNvPr id="0" name=""/>
            <xdr:cNvSpPr>
              <a:spLocks noTextEdit="1"/>
            </xdr:cNvSpPr>
          </xdr:nvSpPr>
          <xdr:spPr>
            <a:xfrm>
              <a:off x="12626340" y="1555173"/>
              <a:ext cx="4091940" cy="11187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geshkumar Vadivel" refreshedDate="46240.57586527778" createdVersion="8" refreshedVersion="8" minRefreshableVersion="3" recordCount="100" xr:uid="{4383F137-A916-4E44-BE30-C313718F064D}">
  <cacheSource type="worksheet">
    <worksheetSource name="Table1"/>
  </cacheSource>
  <cacheFields count="14">
    <cacheField name="Employee ID" numFmtId="0">
      <sharedItems/>
    </cacheField>
    <cacheField name="Full Name" numFmtId="0">
      <sharedItems count="100">
        <s v="Arun Kumar"/>
        <s v="Priya Sharma"/>
        <s v="Rahul Menon"/>
        <s v="Divya Iyer"/>
        <s v="Suresh Babu"/>
        <s v="Meena Rani"/>
        <s v="Vikram Singh"/>
        <s v="Anjali Verma"/>
        <s v="Karthik Raj"/>
        <s v="Nisha Thomas"/>
        <s v="Mohan Das"/>
        <s v="Swetha Krishnan"/>
        <s v="Ajay Patel"/>
        <s v="Lakshmi Devi"/>
        <s v="Manoj Joseph"/>
        <s v="Keerthana Rao"/>
        <s v="Ramesh Kumar"/>
        <s v="Neha Gupta"/>
        <s v="Sanjay Prakash"/>
        <s v="Harini Suresh"/>
        <s v="Aditya Rao"/>
        <s v="Ananya Das"/>
        <s v="Rohit Nair"/>
        <s v="Kavya Reddy"/>
        <s v="Prakash Menon"/>
        <s v="Sneha Kapoor"/>
        <s v="Vishal Gupta"/>
        <s v="Deepa Nair"/>
        <s v="Manish Shah"/>
        <s v="Shalini Bose"/>
        <s v="Harish Iyer"/>
        <s v="Pooja Singh"/>
        <s v="Abhishek Jain"/>
        <s v="Swati Mishra"/>
        <s v="Sunil Kumar"/>
        <s v="Rekha Paul"/>
        <s v="Naveen Reddy"/>
        <s v="Chitra Ravi"/>
        <s v="Sameer Khan"/>
        <s v="Madhuri Rao"/>
        <s v="Arvind Raj"/>
        <s v="Monika Sethi"/>
        <s v="Surya Prakash"/>
        <s v="Preethi Kumar"/>
        <s v="Imran Ali"/>
        <s v="Geetha Mani"/>
        <s v="Krishna Murthy"/>
        <s v="Swetha Reddy"/>
        <s v="Joseph Antony"/>
        <s v="Divya Menon"/>
        <s v="Anil Kumar"/>
        <s v="Ritu Sharma"/>
        <s v="Venkat Rao"/>
        <s v="Asha Devi"/>
        <s v="Rajesh Nair"/>
        <s v="Simran Kaur"/>
        <s v="Girish Babu"/>
        <s v="Farah Khan"/>
        <s v="Balaji Suresh"/>
        <s v="Uma Krishnan"/>
        <s v="Shyam Sundar"/>
        <s v="Amrita Roy"/>
        <s v="Dinesh Patel"/>
        <s v="Swathi Rao"/>
        <s v="Faizan Ahmed"/>
        <s v="Radha Iyer"/>
        <s v="Suraj Singh"/>
        <s v="Shreya Das"/>
        <s v="Manoj Nair"/>
        <s v="Neha Rani"/>
        <s v="Praveen Kumar"/>
        <s v="Megha Jain"/>
        <s v="Ajith Menon"/>
        <s v="Swetha Paul"/>
        <s v="Naresh Reddy"/>
        <s v="Anu Thomas"/>
        <s v="Ravi Shankar"/>
        <s v="Priya Menon"/>
        <s v="Kiran Shah"/>
        <s v="Divya Rao"/>
        <s v="Sanjay Kumar"/>
        <s v="Latha Devi"/>
        <s v="Abhishek Rao"/>
        <s v="Nandini Gupta"/>
        <s v="Thomas George"/>
        <s v="Harini Das"/>
        <s v="Manoj Singh"/>
        <s v="Roshni Kapoor"/>
        <s v="Pradeep Nair"/>
        <s v="Keerthi Raj"/>
        <s v="Anand Babu"/>
        <s v="Meena Sharma"/>
        <s v="Surendra Kumar"/>
        <s v="Anjali Menon"/>
        <s v="Varun Patel"/>
        <s v="Sonia Roy"/>
        <s v="Ramesh Shah"/>
        <s v="Pallavi Rao"/>
        <s v="Chandran Iyer"/>
        <s v="Sangeetha Kumar"/>
      </sharedItems>
    </cacheField>
    <cacheField name="Gender" numFmtId="0">
      <sharedItems count="2">
        <s v="Male"/>
        <s v="Female"/>
      </sharedItems>
    </cacheField>
    <cacheField name="Age" numFmtId="0">
      <sharedItems containsSemiMixedTypes="0" containsString="0" containsNumber="1" containsInteger="1" minValue="26" maxValue="46"/>
    </cacheField>
    <cacheField name="Job" numFmtId="0">
      <sharedItems count="101">
        <s v="Data Engineer"/>
        <s v="HR Manager"/>
        <s v="Software Developer"/>
        <s v="Financial Analyst"/>
        <s v="Project Manager"/>
        <s v="Business Analyst"/>
        <s v="Cloud Engineer"/>
        <s v="Marketing Executive"/>
        <s v="Database Admin"/>
        <s v="Data Analyst"/>
        <s v="Database Administrator" u="1"/>
        <s v="System Administrator" u="1"/>
        <s v="Recruitment Specialist" u="1"/>
        <s v="Operations Manager" u="1"/>
        <s v="Sales Manager" u="1"/>
        <s v="Quality Analyst" u="1"/>
        <s v="Junior Developer" u="1"/>
        <s v="Procurement Officer" u="1"/>
        <s v="Senior Consultant" u="1"/>
        <s v="UX Designer" u="1"/>
        <s v="Network Engineer" u="1"/>
        <s v="Customer Support Executive" u="1"/>
        <s v="Product Analyst" u="1"/>
        <s v="Finance Manager" u="1"/>
        <s v="Test Engineer" u="1"/>
        <s v="Technical Lead" u="1"/>
        <s v="Content Specialist" u="1"/>
        <s v="Sales Executive" u="1"/>
        <s v="Legal Advisor" u="1"/>
        <s v="ETL Developer" u="1"/>
        <s v="Compliance Officer" u="1"/>
        <s v="Program Manager" u="1"/>
        <s v="Junior Analyst" u="1"/>
        <s v="DevOps Engineer" u="1"/>
        <s v="Training Coordinator" u="1"/>
        <s v="Supply Chain Manager" u="1"/>
        <s v="Customer Success Manager" u="1"/>
        <s v="Python Developer" u="1"/>
        <s v="Product Manager" u="1"/>
        <s v="Accountant" u="1"/>
        <s v="Senior HR Executive" u="1"/>
        <s v="Support Analyst" u="1"/>
        <s v="Data Scientist" u="1"/>
        <s v="Infrastructure Engineer" u="1"/>
        <s v="Social Media Manager" u="1"/>
        <s v="Regional Sales Manager" u="1"/>
        <s v="Process Manager" u="1"/>
        <s v="Security Analyst" u="1"/>
        <s v="BI Developer" u="1"/>
        <s v="Delivery Manager" u="1"/>
        <s v="Product Designer" u="1"/>
        <s v="Software Tester" u="1"/>
        <s v="Payroll Specialist" u="1"/>
        <s v="Solutions Architect" u="1"/>
        <s v="Operations Analyst" u="1"/>
        <s v="Database Engineer" u="1"/>
        <s v="Brand Manager" u="1"/>
        <s v="Recruiter" u="1"/>
        <s v="Risk Analyst" u="1"/>
        <s v="Full Stack Developer" u="1"/>
        <s v="Quality Manager" u="1"/>
        <s v="Data Quality Analyst" u="1"/>
        <s v="Project Coordinator" u="1"/>
        <s v="Security Engineer" u="1"/>
        <s v="Marketing Analyst" u="1"/>
        <s v="Procurement Manager" u="1"/>
        <s v="Customer Support Lead" u="1"/>
        <s v="Machine Learning Engineer" u="1"/>
        <s v="UX Researcher" u="1"/>
        <s v="General Manager" u="1"/>
        <s v="Compliance Manager" u="1"/>
        <s v="Cloud Administrator" u="1"/>
        <s v="HR Assistant" u="1"/>
        <s v="Senior Business Analyst" u="1"/>
        <s v="Accounts Executive" u="1"/>
        <s v="Application Support Engineer" u="1"/>
        <s v="Product Owner" u="1"/>
        <s v="Network Administrator" u="1"/>
        <s v="Sales Analyst" u="1"/>
        <s v="Audit Manager" u="1"/>
        <s v="Manufacturing Analyst" u="1"/>
        <s v="Data Warehouse Developer" u="1"/>
        <s v="Learning Manager" u="1"/>
        <s v="API Developer" u="1"/>
        <s v="Research Analyst" u="1"/>
        <s v="Service Delivery Manager" u="1"/>
        <s v="Graphic Designer" u="1"/>
        <s v="Technical Project Manager" u="1"/>
        <s v="Finance Associate" u="1"/>
        <s v="Plant Manager" u="1"/>
        <s v="Data Visualization Analyst" u="1"/>
        <s v="DevOps Associate" u="1"/>
        <s v="Senior Recruiter" u="1"/>
        <s v="Supply Chain Analyst" u="1"/>
        <s v="Customer Experience Analyst" u="1"/>
        <s v="Machine Learning Analyst" u="1"/>
        <s v="Corporate Lawyer" u="1"/>
        <s v="Frontend Developer" u="1"/>
        <s v="Category Manager" u="1"/>
        <s v="Process Consultant" u="1"/>
        <s v="Reporting Analyst" u="1"/>
      </sharedItems>
    </cacheField>
    <cacheField name="Department" numFmtId="0">
      <sharedItems count="14">
        <s v="IT"/>
        <s v="HR"/>
        <s v="Finance"/>
        <s v="Operations"/>
        <s v="Analytics"/>
        <s v="Marketing"/>
        <s v="Sales" u="1"/>
        <s v="Quality" u="1"/>
        <s v="Procurement" u="1"/>
        <s v="Consulting" u="1"/>
        <s v="Product" u="1"/>
        <s v="Support" u="1"/>
        <s v="Legal" u="1"/>
        <s v="Compliance" u="1"/>
      </sharedItems>
    </cacheField>
    <cacheField name="Business" numFmtId="0">
      <sharedItems count="8">
        <s v="Technology"/>
        <s v="Corporate Services"/>
        <s v="Banking"/>
        <s v="Consulting"/>
        <s v="Retail"/>
        <s v="Manufacturing"/>
        <s v="Product Development"/>
        <s v="Customer Services"/>
      </sharedItems>
    </cacheField>
    <cacheField name="Hire Date" numFmtId="14">
      <sharedItems containsSemiMixedTypes="0" containsNonDate="0" containsDate="1" containsString="0" minDate="2012-06-18T00:00:00" maxDate="2024-05-07T00:00:00"/>
    </cacheField>
    <cacheField name="Exit Date" numFmtId="0">
      <sharedItems containsNonDate="0" containsDate="1" containsString="0" containsBlank="1" minDate="2024-12-15T00:00:00" maxDate="2026-08-01T00:00:00"/>
    </cacheField>
    <cacheField name="Annual Salary" numFmtId="0">
      <sharedItems containsSemiMixedTypes="0" containsString="0" containsNumber="1" containsInteger="1" minValue="420000" maxValue="1650000"/>
    </cacheField>
    <cacheField name="Bonus" numFmtId="0">
      <sharedItems containsSemiMixedTypes="0" containsString="0" containsNumber="1" minValue="0" maxValue="0.2"/>
    </cacheField>
    <cacheField name="Status" numFmtId="0">
      <sharedItems count="2">
        <s v="Active"/>
        <s v="Exited"/>
      </sharedItems>
    </cacheField>
    <cacheField name="Year" numFmtId="0">
      <sharedItems containsSemiMixedTypes="0" containsString="0" containsNumber="1" containsInteger="1" minValue="2" maxValue="14"/>
    </cacheField>
    <cacheField name="Age Group" numFmtId="0">
      <sharedItems count="6">
        <s v="26-30"/>
        <s v="31-35"/>
        <s v="41-45"/>
        <s v="36-40"/>
        <s v="46-50"/>
        <s v="" u="1"/>
      </sharedItems>
    </cacheField>
  </cacheFields>
  <extLst>
    <ext xmlns:x14="http://schemas.microsoft.com/office/spreadsheetml/2009/9/main" uri="{725AE2AE-9491-48be-B2B4-4EB974FC3084}">
      <x14:pivotCacheDefinition pivotCacheId="11289360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E1001"/>
    <x v="0"/>
    <x v="0"/>
    <n v="29"/>
    <x v="0"/>
    <x v="0"/>
    <x v="0"/>
    <d v="2021-06-14T00:00:00"/>
    <m/>
    <n v="850000"/>
    <n v="0.1"/>
    <x v="0"/>
    <n v="5"/>
    <x v="0"/>
  </r>
  <r>
    <s v="E1002"/>
    <x v="1"/>
    <x v="1"/>
    <n v="32"/>
    <x v="1"/>
    <x v="1"/>
    <x v="1"/>
    <d v="2019-03-25T00:00:00"/>
    <m/>
    <n v="950000"/>
    <n v="0.15"/>
    <x v="0"/>
    <n v="7"/>
    <x v="1"/>
  </r>
  <r>
    <s v="E1003"/>
    <x v="2"/>
    <x v="0"/>
    <n v="27"/>
    <x v="2"/>
    <x v="0"/>
    <x v="0"/>
    <d v="2022-01-10T00:00:00"/>
    <m/>
    <n v="720000"/>
    <n v="0"/>
    <x v="0"/>
    <n v="4"/>
    <x v="0"/>
  </r>
  <r>
    <s v="E1004"/>
    <x v="3"/>
    <x v="1"/>
    <n v="35"/>
    <x v="3"/>
    <x v="2"/>
    <x v="2"/>
    <d v="2018-11-05T00:00:00"/>
    <d v="2025-08-30T00:00:00"/>
    <n v="880000"/>
    <n v="0.2"/>
    <x v="1"/>
    <n v="6"/>
    <x v="1"/>
  </r>
  <r>
    <s v="E1005"/>
    <x v="4"/>
    <x v="0"/>
    <n v="41"/>
    <x v="4"/>
    <x v="3"/>
    <x v="3"/>
    <d v="2016-07-18T00:00:00"/>
    <m/>
    <n v="1250000"/>
    <n v="0.1"/>
    <x v="0"/>
    <n v="10"/>
    <x v="2"/>
  </r>
  <r>
    <s v="E1006"/>
    <x v="5"/>
    <x v="1"/>
    <n v="26"/>
    <x v="5"/>
    <x v="4"/>
    <x v="3"/>
    <d v="2023-02-13T00:00:00"/>
    <m/>
    <n v="650000"/>
    <n v="0.15"/>
    <x v="0"/>
    <n v="3"/>
    <x v="0"/>
  </r>
  <r>
    <s v="E1007"/>
    <x v="6"/>
    <x v="0"/>
    <n v="38"/>
    <x v="6"/>
    <x v="0"/>
    <x v="0"/>
    <d v="2017-09-11T00:00:00"/>
    <m/>
    <n v="980000"/>
    <n v="0.2"/>
    <x v="0"/>
    <n v="8"/>
    <x v="3"/>
  </r>
  <r>
    <s v="E1008"/>
    <x v="7"/>
    <x v="1"/>
    <n v="30"/>
    <x v="7"/>
    <x v="5"/>
    <x v="1"/>
    <d v="2020-05-04T00:00:00"/>
    <d v="2026-01-20T00:00:00"/>
    <n v="700000"/>
    <n v="0"/>
    <x v="1"/>
    <n v="5"/>
    <x v="0"/>
  </r>
  <r>
    <s v="E1009"/>
    <x v="8"/>
    <x v="0"/>
    <n v="33"/>
    <x v="8"/>
    <x v="0"/>
    <x v="0"/>
    <d v="2019-12-02T00:00:00"/>
    <m/>
    <n v="1100000"/>
    <n v="0.1"/>
    <x v="0"/>
    <n v="6"/>
    <x v="1"/>
  </r>
  <r>
    <s v="E1010"/>
    <x v="9"/>
    <x v="1"/>
    <n v="28"/>
    <x v="9"/>
    <x v="4"/>
    <x v="4"/>
    <d v="2022-08-22T00:00:00"/>
    <m/>
    <n v="600000"/>
    <n v="0.15"/>
    <x v="0"/>
    <n v="3"/>
    <x v="0"/>
  </r>
  <r>
    <s v="E1011"/>
    <x v="10"/>
    <x v="0"/>
    <n v="45"/>
    <x v="4"/>
    <x v="3"/>
    <x v="5"/>
    <d v="2015-04-27T00:00:00"/>
    <m/>
    <n v="1350000"/>
    <n v="0.2"/>
    <x v="0"/>
    <n v="11"/>
    <x v="2"/>
  </r>
  <r>
    <s v="E1012"/>
    <x v="11"/>
    <x v="1"/>
    <n v="31"/>
    <x v="0"/>
    <x v="0"/>
    <x v="2"/>
    <d v="2021-10-18T00:00:00"/>
    <m/>
    <n v="780000"/>
    <n v="0.1"/>
    <x v="0"/>
    <n v="4"/>
    <x v="1"/>
  </r>
  <r>
    <s v="E1013"/>
    <x v="12"/>
    <x v="0"/>
    <n v="36"/>
    <x v="2"/>
    <x v="0"/>
    <x v="4"/>
    <d v="2018-06-25T00:00:00"/>
    <m/>
    <n v="1020000"/>
    <n v="0"/>
    <x v="0"/>
    <n v="8"/>
    <x v="3"/>
  </r>
  <r>
    <s v="E1014"/>
    <x v="13"/>
    <x v="1"/>
    <n v="39"/>
    <x v="1"/>
    <x v="1"/>
    <x v="5"/>
    <d v="2017-02-06T00:00:00"/>
    <d v="2024-12-15T00:00:00"/>
    <n v="820000"/>
    <n v="0.15"/>
    <x v="1"/>
    <n v="7"/>
    <x v="3"/>
  </r>
  <r>
    <s v="E1015"/>
    <x v="14"/>
    <x v="0"/>
    <n v="28"/>
    <x v="6"/>
    <x v="0"/>
    <x v="0"/>
    <d v="2024-01-08T00:00:00"/>
    <m/>
    <n v="480000"/>
    <n v="0.2"/>
    <x v="0"/>
    <n v="2"/>
    <x v="0"/>
  </r>
  <r>
    <s v="E1016"/>
    <x v="15"/>
    <x v="1"/>
    <n v="34"/>
    <x v="5"/>
    <x v="4"/>
    <x v="5"/>
    <d v="2020-09-14T00:00:00"/>
    <m/>
    <n v="760000"/>
    <n v="0.1"/>
    <x v="0"/>
    <n v="5"/>
    <x v="1"/>
  </r>
  <r>
    <s v="E1017"/>
    <x v="16"/>
    <x v="0"/>
    <n v="43"/>
    <x v="3"/>
    <x v="2"/>
    <x v="3"/>
    <d v="2014-10-20T00:00:00"/>
    <m/>
    <n v="1450000"/>
    <n v="0.15"/>
    <x v="0"/>
    <n v="11"/>
    <x v="2"/>
  </r>
  <r>
    <s v="E1018"/>
    <x v="17"/>
    <x v="1"/>
    <n v="29"/>
    <x v="9"/>
    <x v="4"/>
    <x v="6"/>
    <d v="2022-04-11T00:00:00"/>
    <m/>
    <n v="900000"/>
    <n v="0"/>
    <x v="0"/>
    <n v="4"/>
    <x v="0"/>
  </r>
  <r>
    <s v="E1019"/>
    <x v="18"/>
    <x v="0"/>
    <n v="37"/>
    <x v="8"/>
    <x v="0"/>
    <x v="0"/>
    <d v="2018-01-29T00:00:00"/>
    <d v="2025-11-10T00:00:00"/>
    <n v="890000"/>
    <n v="0.2"/>
    <x v="1"/>
    <n v="7"/>
    <x v="3"/>
  </r>
  <r>
    <s v="E1020"/>
    <x v="19"/>
    <x v="1"/>
    <n v="27"/>
    <x v="7"/>
    <x v="5"/>
    <x v="7"/>
    <d v="2023-06-19T00:00:00"/>
    <m/>
    <n v="520000"/>
    <n v="0.1"/>
    <x v="0"/>
    <n v="3"/>
    <x v="0"/>
  </r>
  <r>
    <s v="E1021"/>
    <x v="20"/>
    <x v="0"/>
    <n v="31"/>
    <x v="2"/>
    <x v="0"/>
    <x v="0"/>
    <d v="2020-02-17T00:00:00"/>
    <m/>
    <n v="1050000"/>
    <n v="0.15"/>
    <x v="0"/>
    <n v="6"/>
    <x v="1"/>
  </r>
  <r>
    <s v="E1022"/>
    <x v="21"/>
    <x v="1"/>
    <n v="28"/>
    <x v="0"/>
    <x v="0"/>
    <x v="6"/>
    <d v="2022-07-04T00:00:00"/>
    <m/>
    <n v="740000"/>
    <n v="0.2"/>
    <x v="0"/>
    <n v="4"/>
    <x v="0"/>
  </r>
  <r>
    <s v="E1023"/>
    <x v="22"/>
    <x v="0"/>
    <n v="40"/>
    <x v="4"/>
    <x v="3"/>
    <x v="2"/>
    <d v="2016-12-12T00:00:00"/>
    <m/>
    <n v="1180000"/>
    <n v="0.1"/>
    <x v="0"/>
    <n v="9"/>
    <x v="3"/>
  </r>
  <r>
    <s v="E1024"/>
    <x v="23"/>
    <x v="1"/>
    <n v="33"/>
    <x v="9"/>
    <x v="4"/>
    <x v="0"/>
    <d v="2019-08-26T00:00:00"/>
    <m/>
    <n v="800000"/>
    <n v="0"/>
    <x v="0"/>
    <n v="6"/>
    <x v="1"/>
  </r>
  <r>
    <s v="E1025"/>
    <x v="24"/>
    <x v="0"/>
    <n v="36"/>
    <x v="6"/>
    <x v="0"/>
    <x v="0"/>
    <d v="2017-05-15T00:00:00"/>
    <m/>
    <n v="1320000"/>
    <n v="0.15"/>
    <x v="0"/>
    <n v="9"/>
    <x v="3"/>
  </r>
  <r>
    <s v="E1026"/>
    <x v="25"/>
    <x v="1"/>
    <n v="29"/>
    <x v="7"/>
    <x v="5"/>
    <x v="4"/>
    <d v="2021-03-08T00:00:00"/>
    <d v="2025-10-18T00:00:00"/>
    <n v="680000"/>
    <n v="0.2"/>
    <x v="1"/>
    <n v="4"/>
    <x v="0"/>
  </r>
  <r>
    <s v="E1027"/>
    <x v="26"/>
    <x v="0"/>
    <n v="34"/>
    <x v="5"/>
    <x v="4"/>
    <x v="4"/>
    <d v="2020-11-23T00:00:00"/>
    <m/>
    <n v="650000"/>
    <n v="0.1"/>
    <x v="0"/>
    <n v="5"/>
    <x v="1"/>
  </r>
  <r>
    <s v="E1028"/>
    <x v="27"/>
    <x v="1"/>
    <n v="42"/>
    <x v="1"/>
    <x v="1"/>
    <x v="1"/>
    <d v="2015-06-29T00:00:00"/>
    <m/>
    <n v="1280000"/>
    <n v="0.15"/>
    <x v="0"/>
    <n v="11"/>
    <x v="2"/>
  </r>
  <r>
    <s v="E1029"/>
    <x v="28"/>
    <x v="0"/>
    <n v="27"/>
    <x v="8"/>
    <x v="0"/>
    <x v="0"/>
    <d v="2023-01-16T00:00:00"/>
    <m/>
    <n v="690000"/>
    <n v="0"/>
    <x v="0"/>
    <n v="3"/>
    <x v="0"/>
  </r>
  <r>
    <s v="E1030"/>
    <x v="29"/>
    <x v="1"/>
    <n v="38"/>
    <x v="3"/>
    <x v="2"/>
    <x v="2"/>
    <d v="2018-04-02T00:00:00"/>
    <m/>
    <n v="920000"/>
    <n v="0.2"/>
    <x v="0"/>
    <n v="8"/>
    <x v="3"/>
  </r>
  <r>
    <s v="E1031"/>
    <x v="30"/>
    <x v="0"/>
    <n v="44"/>
    <x v="4"/>
    <x v="3"/>
    <x v="3"/>
    <d v="2014-09-08T00:00:00"/>
    <m/>
    <n v="1500000"/>
    <n v="0.1"/>
    <x v="0"/>
    <n v="11"/>
    <x v="2"/>
  </r>
  <r>
    <s v="E1032"/>
    <x v="31"/>
    <x v="1"/>
    <n v="26"/>
    <x v="9"/>
    <x v="4"/>
    <x v="3"/>
    <d v="2024-02-19T00:00:00"/>
    <m/>
    <n v="500000"/>
    <n v="0.15"/>
    <x v="0"/>
    <n v="2"/>
    <x v="0"/>
  </r>
  <r>
    <s v="E1033"/>
    <x v="32"/>
    <x v="0"/>
    <n v="30"/>
    <x v="0"/>
    <x v="0"/>
    <x v="0"/>
    <d v="2021-12-06T00:00:00"/>
    <m/>
    <n v="960000"/>
    <n v="0.2"/>
    <x v="0"/>
    <n v="4"/>
    <x v="0"/>
  </r>
  <r>
    <s v="E1034"/>
    <x v="33"/>
    <x v="1"/>
    <n v="35"/>
    <x v="1"/>
    <x v="1"/>
    <x v="1"/>
    <d v="2019-01-21T00:00:00"/>
    <m/>
    <n v="720000"/>
    <n v="0"/>
    <x v="0"/>
    <n v="7"/>
    <x v="1"/>
  </r>
  <r>
    <s v="E1035"/>
    <x v="34"/>
    <x v="0"/>
    <n v="39"/>
    <x v="2"/>
    <x v="0"/>
    <x v="5"/>
    <d v="2017-10-09T00:00:00"/>
    <m/>
    <n v="1080000"/>
    <n v="0.1"/>
    <x v="0"/>
    <n v="8"/>
    <x v="3"/>
  </r>
  <r>
    <s v="E1036"/>
    <x v="35"/>
    <x v="1"/>
    <n v="31"/>
    <x v="5"/>
    <x v="4"/>
    <x v="7"/>
    <d v="2020-06-15T00:00:00"/>
    <m/>
    <n v="830000"/>
    <n v="0.15"/>
    <x v="0"/>
    <n v="6"/>
    <x v="1"/>
  </r>
  <r>
    <s v="E1037"/>
    <x v="36"/>
    <x v="0"/>
    <n v="28"/>
    <x v="6"/>
    <x v="0"/>
    <x v="0"/>
    <d v="2022-09-19T00:00:00"/>
    <m/>
    <n v="760000"/>
    <n v="0.2"/>
    <x v="0"/>
    <n v="3"/>
    <x v="0"/>
  </r>
  <r>
    <s v="E1038"/>
    <x v="37"/>
    <x v="1"/>
    <n v="37"/>
    <x v="4"/>
    <x v="3"/>
    <x v="6"/>
    <d v="2018-02-26T00:00:00"/>
    <m/>
    <n v="1220000"/>
    <n v="0.1"/>
    <x v="0"/>
    <n v="8"/>
    <x v="3"/>
  </r>
  <r>
    <s v="E1039"/>
    <x v="38"/>
    <x v="0"/>
    <n v="32"/>
    <x v="3"/>
    <x v="2"/>
    <x v="2"/>
    <d v="2021-05-10T00:00:00"/>
    <d v="2026-03-31T00:00:00"/>
    <n v="620000"/>
    <n v="0"/>
    <x v="1"/>
    <n v="4"/>
    <x v="1"/>
  </r>
  <r>
    <s v="E1040"/>
    <x v="39"/>
    <x v="1"/>
    <n v="41"/>
    <x v="1"/>
    <x v="1"/>
    <x v="1"/>
    <d v="2016-03-14T00:00:00"/>
    <d v="2026-07-31T00:00:00"/>
    <n v="880000"/>
    <n v="0.15"/>
    <x v="0"/>
    <n v="10"/>
    <x v="2"/>
  </r>
  <r>
    <s v="E1041"/>
    <x v="40"/>
    <x v="0"/>
    <n v="26"/>
    <x v="9"/>
    <x v="4"/>
    <x v="7"/>
    <d v="2024-05-06T00:00:00"/>
    <m/>
    <n v="450000"/>
    <n v="0.2"/>
    <x v="0"/>
    <n v="2"/>
    <x v="0"/>
  </r>
  <r>
    <s v="E1042"/>
    <x v="41"/>
    <x v="1"/>
    <n v="34"/>
    <x v="0"/>
    <x v="0"/>
    <x v="0"/>
    <d v="2020-08-17T00:00:00"/>
    <m/>
    <n v="1150000"/>
    <n v="0.1"/>
    <x v="0"/>
    <n v="5"/>
    <x v="1"/>
  </r>
  <r>
    <s v="E1043"/>
    <x v="42"/>
    <x v="0"/>
    <n v="36"/>
    <x v="8"/>
    <x v="0"/>
    <x v="0"/>
    <d v="2019-06-24T00:00:00"/>
    <m/>
    <n v="940000"/>
    <n v="0.15"/>
    <x v="0"/>
    <n v="7"/>
    <x v="3"/>
  </r>
  <r>
    <s v="E1044"/>
    <x v="43"/>
    <x v="1"/>
    <n v="29"/>
    <x v="7"/>
    <x v="5"/>
    <x v="4"/>
    <d v="2022-03-28T00:00:00"/>
    <m/>
    <n v="640000"/>
    <n v="0"/>
    <x v="0"/>
    <n v="4"/>
    <x v="0"/>
  </r>
  <r>
    <s v="E1045"/>
    <x v="44"/>
    <x v="0"/>
    <n v="35"/>
    <x v="2"/>
    <x v="0"/>
    <x v="4"/>
    <d v="2015-11-16T00:00:00"/>
    <m/>
    <n v="1270000"/>
    <n v="0.2"/>
    <x v="0"/>
    <n v="10"/>
    <x v="1"/>
  </r>
  <r>
    <s v="E1046"/>
    <x v="45"/>
    <x v="1"/>
    <n v="39"/>
    <x v="5"/>
    <x v="4"/>
    <x v="3"/>
    <d v="2017-07-03T00:00:00"/>
    <m/>
    <n v="990000"/>
    <n v="0.1"/>
    <x v="0"/>
    <n v="9"/>
    <x v="3"/>
  </r>
  <r>
    <s v="E1047"/>
    <x v="46"/>
    <x v="0"/>
    <n v="33"/>
    <x v="6"/>
    <x v="0"/>
    <x v="0"/>
    <d v="2021-01-25T00:00:00"/>
    <m/>
    <n v="910000"/>
    <n v="0.15"/>
    <x v="0"/>
    <n v="5"/>
    <x v="1"/>
  </r>
  <r>
    <s v="E1048"/>
    <x v="47"/>
    <x v="1"/>
    <n v="27"/>
    <x v="9"/>
    <x v="4"/>
    <x v="2"/>
    <d v="2023-04-10T00:00:00"/>
    <m/>
    <n v="730000"/>
    <n v="0.2"/>
    <x v="0"/>
    <n v="3"/>
    <x v="0"/>
  </r>
  <r>
    <s v="E1049"/>
    <x v="48"/>
    <x v="0"/>
    <n v="45"/>
    <x v="4"/>
    <x v="3"/>
    <x v="3"/>
    <d v="2013-08-19T00:00:00"/>
    <m/>
    <n v="1550000"/>
    <n v="0.1"/>
    <x v="0"/>
    <n v="12"/>
    <x v="2"/>
  </r>
  <r>
    <s v="E1050"/>
    <x v="49"/>
    <x v="1"/>
    <n v="30"/>
    <x v="3"/>
    <x v="2"/>
    <x v="6"/>
    <d v="2021-09-13T00:00:00"/>
    <m/>
    <n v="850000"/>
    <n v="0.15"/>
    <x v="0"/>
    <n v="4"/>
    <x v="0"/>
  </r>
  <r>
    <s v="E1051"/>
    <x v="50"/>
    <x v="0"/>
    <n v="26"/>
    <x v="2"/>
    <x v="0"/>
    <x v="0"/>
    <d v="2023-07-17T00:00:00"/>
    <m/>
    <n v="560000"/>
    <n v="0"/>
    <x v="0"/>
    <n v="3"/>
    <x v="0"/>
  </r>
  <r>
    <s v="E1052"/>
    <x v="51"/>
    <x v="1"/>
    <n v="36"/>
    <x v="1"/>
    <x v="1"/>
    <x v="1"/>
    <d v="2018-10-01T00:00:00"/>
    <m/>
    <n v="790000"/>
    <n v="0.2"/>
    <x v="0"/>
    <n v="7"/>
    <x v="3"/>
  </r>
  <r>
    <s v="E1053"/>
    <x v="52"/>
    <x v="0"/>
    <n v="40"/>
    <x v="0"/>
    <x v="0"/>
    <x v="0"/>
    <d v="2016-05-23T00:00:00"/>
    <m/>
    <n v="1400000"/>
    <n v="0.1"/>
    <x v="0"/>
    <n v="10"/>
    <x v="3"/>
  </r>
  <r>
    <s v="E1054"/>
    <x v="53"/>
    <x v="1"/>
    <n v="28"/>
    <x v="5"/>
    <x v="4"/>
    <x v="5"/>
    <d v="2022-11-07T00:00:00"/>
    <m/>
    <n v="610000"/>
    <n v="0.15"/>
    <x v="0"/>
    <n v="3"/>
    <x v="0"/>
  </r>
  <r>
    <s v="E1055"/>
    <x v="54"/>
    <x v="0"/>
    <n v="37"/>
    <x v="8"/>
    <x v="0"/>
    <x v="0"/>
    <d v="2019-02-11T00:00:00"/>
    <d v="2025-12-20T00:00:00"/>
    <n v="1000000"/>
    <n v="0.2"/>
    <x v="1"/>
    <n v="6"/>
    <x v="3"/>
  </r>
  <r>
    <s v="E1056"/>
    <x v="55"/>
    <x v="1"/>
    <n v="32"/>
    <x v="7"/>
    <x v="5"/>
    <x v="4"/>
    <d v="2020-04-20T00:00:00"/>
    <m/>
    <n v="930000"/>
    <n v="0.1"/>
    <x v="0"/>
    <n v="6"/>
    <x v="1"/>
  </r>
  <r>
    <s v="E1057"/>
    <x v="56"/>
    <x v="0"/>
    <n v="29"/>
    <x v="1"/>
    <x v="1"/>
    <x v="1"/>
    <d v="2022-06-06T00:00:00"/>
    <m/>
    <n v="580000"/>
    <n v="0.15"/>
    <x v="0"/>
    <n v="4"/>
    <x v="0"/>
  </r>
  <r>
    <s v="E1058"/>
    <x v="57"/>
    <x v="1"/>
    <n v="35"/>
    <x v="3"/>
    <x v="2"/>
    <x v="2"/>
    <d v="2019-11-18T00:00:00"/>
    <m/>
    <n v="870000"/>
    <n v="0"/>
    <x v="0"/>
    <n v="6"/>
    <x v="1"/>
  </r>
  <r>
    <s v="E1059"/>
    <x v="58"/>
    <x v="0"/>
    <n v="31"/>
    <x v="6"/>
    <x v="0"/>
    <x v="0"/>
    <d v="2021-07-12T00:00:00"/>
    <m/>
    <n v="980000"/>
    <n v="0.2"/>
    <x v="0"/>
    <n v="5"/>
    <x v="1"/>
  </r>
  <r>
    <s v="E1060"/>
    <x v="59"/>
    <x v="1"/>
    <n v="44"/>
    <x v="4"/>
    <x v="3"/>
    <x v="5"/>
    <d v="2015-02-02T00:00:00"/>
    <m/>
    <n v="1120000"/>
    <n v="0.1"/>
    <x v="0"/>
    <n v="11"/>
    <x v="2"/>
  </r>
  <r>
    <s v="E1061"/>
    <x v="60"/>
    <x v="0"/>
    <n v="27"/>
    <x v="9"/>
    <x v="4"/>
    <x v="0"/>
    <d v="2023-03-20T00:00:00"/>
    <m/>
    <n v="600000"/>
    <n v="0.15"/>
    <x v="0"/>
    <n v="3"/>
    <x v="0"/>
  </r>
  <r>
    <s v="E1062"/>
    <x v="61"/>
    <x v="1"/>
    <n v="33"/>
    <x v="5"/>
    <x v="4"/>
    <x v="3"/>
    <d v="2020-10-05T00:00:00"/>
    <m/>
    <n v="680000"/>
    <n v="0.2"/>
    <x v="0"/>
    <n v="5"/>
    <x v="1"/>
  </r>
  <r>
    <s v="E1063"/>
    <x v="62"/>
    <x v="0"/>
    <n v="38"/>
    <x v="0"/>
    <x v="0"/>
    <x v="0"/>
    <d v="2018-07-30T00:00:00"/>
    <m/>
    <n v="1030000"/>
    <n v="0.1"/>
    <x v="0"/>
    <n v="8"/>
    <x v="3"/>
  </r>
  <r>
    <s v="E1064"/>
    <x v="63"/>
    <x v="1"/>
    <n v="26"/>
    <x v="7"/>
    <x v="5"/>
    <x v="4"/>
    <d v="2024-01-22T00:00:00"/>
    <m/>
    <n v="540000"/>
    <n v="0"/>
    <x v="0"/>
    <n v="2"/>
    <x v="0"/>
  </r>
  <r>
    <s v="E1065"/>
    <x v="64"/>
    <x v="0"/>
    <n v="42"/>
    <x v="4"/>
    <x v="3"/>
    <x v="5"/>
    <d v="2016-09-26T00:00:00"/>
    <m/>
    <n v="1090000"/>
    <n v="0.15"/>
    <x v="0"/>
    <n v="9"/>
    <x v="2"/>
  </r>
  <r>
    <s v="E1066"/>
    <x v="65"/>
    <x v="1"/>
    <n v="31"/>
    <x v="1"/>
    <x v="1"/>
    <x v="7"/>
    <d v="2021-04-12T00:00:00"/>
    <m/>
    <n v="720000"/>
    <n v="0.2"/>
    <x v="0"/>
    <n v="5"/>
    <x v="1"/>
  </r>
  <r>
    <s v="E1067"/>
    <x v="66"/>
    <x v="0"/>
    <n v="34"/>
    <x v="6"/>
    <x v="0"/>
    <x v="0"/>
    <d v="2020-12-14T00:00:00"/>
    <m/>
    <n v="1250000"/>
    <n v="0.1"/>
    <x v="0"/>
    <n v="5"/>
    <x v="1"/>
  </r>
  <r>
    <s v="E1068"/>
    <x v="67"/>
    <x v="1"/>
    <n v="29"/>
    <x v="2"/>
    <x v="0"/>
    <x v="6"/>
    <d v="2022-02-07T00:00:00"/>
    <m/>
    <n v="770000"/>
    <n v="0.15"/>
    <x v="0"/>
    <n v="4"/>
    <x v="0"/>
  </r>
  <r>
    <s v="E1069"/>
    <x v="68"/>
    <x v="0"/>
    <n v="46"/>
    <x v="3"/>
    <x v="2"/>
    <x v="5"/>
    <d v="2012-06-18T00:00:00"/>
    <m/>
    <n v="1650000"/>
    <n v="0"/>
    <x v="0"/>
    <n v="14"/>
    <x v="4"/>
  </r>
  <r>
    <s v="E1070"/>
    <x v="69"/>
    <x v="1"/>
    <n v="37"/>
    <x v="8"/>
    <x v="0"/>
    <x v="2"/>
    <d v="2017-11-27T00:00:00"/>
    <m/>
    <n v="1150000"/>
    <n v="0.2"/>
    <x v="0"/>
    <n v="8"/>
    <x v="3"/>
  </r>
  <r>
    <s v="E1071"/>
    <x v="70"/>
    <x v="0"/>
    <n v="30"/>
    <x v="0"/>
    <x v="0"/>
    <x v="0"/>
    <d v="2021-08-09T00:00:00"/>
    <m/>
    <n v="880000"/>
    <n v="0.1"/>
    <x v="0"/>
    <n v="4"/>
    <x v="0"/>
  </r>
  <r>
    <s v="E1072"/>
    <x v="71"/>
    <x v="1"/>
    <n v="40"/>
    <x v="1"/>
    <x v="1"/>
    <x v="1"/>
    <d v="2024-03-04T00:00:00"/>
    <m/>
    <n v="420000"/>
    <n v="0.15"/>
    <x v="0"/>
    <n v="2"/>
    <x v="3"/>
  </r>
  <r>
    <s v="E1073"/>
    <x v="72"/>
    <x v="0"/>
    <n v="39"/>
    <x v="5"/>
    <x v="4"/>
    <x v="3"/>
    <d v="2018-09-17T00:00:00"/>
    <m/>
    <n v="1080000"/>
    <n v="0.2"/>
    <x v="0"/>
    <n v="7"/>
    <x v="3"/>
  </r>
  <r>
    <s v="E1074"/>
    <x v="73"/>
    <x v="1"/>
    <n v="34"/>
    <x v="3"/>
    <x v="2"/>
    <x v="2"/>
    <d v="2020-01-13T00:00:00"/>
    <d v="2026-02-28T00:00:00"/>
    <n v="590000"/>
    <n v="0.1"/>
    <x v="1"/>
    <n v="6"/>
    <x v="1"/>
  </r>
  <r>
    <s v="E1075"/>
    <x v="74"/>
    <x v="0"/>
    <n v="28"/>
    <x v="9"/>
    <x v="4"/>
    <x v="0"/>
    <d v="2022-10-24T00:00:00"/>
    <m/>
    <n v="670000"/>
    <n v="0"/>
    <x v="0"/>
    <n v="3"/>
    <x v="0"/>
  </r>
  <r>
    <s v="E1076"/>
    <x v="75"/>
    <x v="1"/>
    <n v="40"/>
    <x v="4"/>
    <x v="3"/>
    <x v="6"/>
    <d v="2016-11-21T00:00:00"/>
    <m/>
    <n v="1300000"/>
    <n v="0.15"/>
    <x v="0"/>
    <n v="9"/>
    <x v="3"/>
  </r>
  <r>
    <s v="E1077"/>
    <x v="76"/>
    <x v="0"/>
    <n v="35"/>
    <x v="6"/>
    <x v="0"/>
    <x v="0"/>
    <d v="2019-04-15T00:00:00"/>
    <m/>
    <n v="840000"/>
    <n v="0.2"/>
    <x v="0"/>
    <n v="7"/>
    <x v="1"/>
  </r>
  <r>
    <s v="E1078"/>
    <x v="77"/>
    <x v="1"/>
    <n v="27"/>
    <x v="7"/>
    <x v="5"/>
    <x v="4"/>
    <d v="2023-05-29T00:00:00"/>
    <m/>
    <n v="570000"/>
    <n v="0.1"/>
    <x v="0"/>
    <n v="3"/>
    <x v="0"/>
  </r>
  <r>
    <s v="E1079"/>
    <x v="78"/>
    <x v="0"/>
    <n v="43"/>
    <x v="8"/>
    <x v="0"/>
    <x v="2"/>
    <d v="2015-01-19T00:00:00"/>
    <m/>
    <n v="1200000"/>
    <n v="0.15"/>
    <x v="0"/>
    <n v="11"/>
    <x v="2"/>
  </r>
  <r>
    <s v="E1080"/>
    <x v="79"/>
    <x v="1"/>
    <n v="32"/>
    <x v="2"/>
    <x v="0"/>
    <x v="5"/>
    <d v="2021-11-01T00:00:00"/>
    <m/>
    <n v="710000"/>
    <n v="0.2"/>
    <x v="0"/>
    <n v="4"/>
    <x v="1"/>
  </r>
  <r>
    <s v="E1081"/>
    <x v="80"/>
    <x v="0"/>
    <n v="29"/>
    <x v="0"/>
    <x v="0"/>
    <x v="0"/>
    <d v="2022-05-16T00:00:00"/>
    <m/>
    <n v="820000"/>
    <n v="0.1"/>
    <x v="0"/>
    <n v="4"/>
    <x v="0"/>
  </r>
  <r>
    <s v="E1082"/>
    <x v="81"/>
    <x v="1"/>
    <n v="36"/>
    <x v="1"/>
    <x v="1"/>
    <x v="1"/>
    <d v="2018-05-07T00:00:00"/>
    <m/>
    <n v="960000"/>
    <n v="0"/>
    <x v="0"/>
    <n v="8"/>
    <x v="3"/>
  </r>
  <r>
    <s v="E1083"/>
    <x v="82"/>
    <x v="0"/>
    <n v="31"/>
    <x v="2"/>
    <x v="0"/>
    <x v="0"/>
    <d v="2020-07-27T00:00:00"/>
    <m/>
    <n v="900000"/>
    <n v="0.15"/>
    <x v="0"/>
    <n v="6"/>
    <x v="1"/>
  </r>
  <r>
    <s v="E1084"/>
    <x v="83"/>
    <x v="1"/>
    <n v="28"/>
    <x v="9"/>
    <x v="4"/>
    <x v="3"/>
    <d v="2023-08-14T00:00:00"/>
    <m/>
    <n v="630000"/>
    <n v="0.2"/>
    <x v="0"/>
    <n v="2"/>
    <x v="0"/>
  </r>
  <r>
    <s v="E1085"/>
    <x v="84"/>
    <x v="0"/>
    <n v="41"/>
    <x v="4"/>
    <x v="3"/>
    <x v="7"/>
    <d v="2016-01-11T00:00:00"/>
    <m/>
    <n v="1180000"/>
    <n v="0.1"/>
    <x v="0"/>
    <n v="10"/>
    <x v="2"/>
  </r>
  <r>
    <s v="E1086"/>
    <x v="85"/>
    <x v="1"/>
    <n v="33"/>
    <x v="7"/>
    <x v="5"/>
    <x v="4"/>
    <d v="2021-02-22T00:00:00"/>
    <m/>
    <n v="690000"/>
    <n v="0.15"/>
    <x v="0"/>
    <n v="5"/>
    <x v="1"/>
  </r>
  <r>
    <s v="E1087"/>
    <x v="86"/>
    <x v="0"/>
    <n v="38"/>
    <x v="6"/>
    <x v="0"/>
    <x v="0"/>
    <d v="2017-12-04T00:00:00"/>
    <m/>
    <n v="1280000"/>
    <n v="0"/>
    <x v="0"/>
    <n v="8"/>
    <x v="3"/>
  </r>
  <r>
    <s v="E1088"/>
    <x v="87"/>
    <x v="1"/>
    <n v="26"/>
    <x v="3"/>
    <x v="2"/>
    <x v="2"/>
    <d v="2024-04-15T00:00:00"/>
    <m/>
    <n v="510000"/>
    <n v="0.2"/>
    <x v="0"/>
    <n v="2"/>
    <x v="0"/>
  </r>
  <r>
    <s v="E1089"/>
    <x v="88"/>
    <x v="0"/>
    <n v="44"/>
    <x v="8"/>
    <x v="0"/>
    <x v="5"/>
    <d v="2014-07-07T00:00:00"/>
    <m/>
    <n v="1420000"/>
    <n v="0.1"/>
    <x v="0"/>
    <n v="12"/>
    <x v="2"/>
  </r>
  <r>
    <s v="E1090"/>
    <x v="89"/>
    <x v="1"/>
    <n v="30"/>
    <x v="5"/>
    <x v="4"/>
    <x v="0"/>
    <d v="2022-12-12T00:00:00"/>
    <m/>
    <n v="750000"/>
    <n v="0.15"/>
    <x v="0"/>
    <n v="3"/>
    <x v="0"/>
  </r>
  <r>
    <s v="E1091"/>
    <x v="90"/>
    <x v="0"/>
    <n v="27"/>
    <x v="0"/>
    <x v="0"/>
    <x v="0"/>
    <d v="2023-09-18T00:00:00"/>
    <m/>
    <n v="590000"/>
    <n v="0.2"/>
    <x v="0"/>
    <n v="2"/>
    <x v="0"/>
  </r>
  <r>
    <s v="E1092"/>
    <x v="91"/>
    <x v="1"/>
    <n v="39"/>
    <x v="1"/>
    <x v="1"/>
    <x v="1"/>
    <d v="2017-04-24T00:00:00"/>
    <m/>
    <n v="820000"/>
    <n v="0.1"/>
    <x v="0"/>
    <n v="9"/>
    <x v="3"/>
  </r>
  <r>
    <s v="E1093"/>
    <x v="92"/>
    <x v="0"/>
    <n v="36"/>
    <x v="4"/>
    <x v="3"/>
    <x v="5"/>
    <d v="2019-10-21T00:00:00"/>
    <m/>
    <n v="730000"/>
    <n v="0"/>
    <x v="0"/>
    <n v="6"/>
    <x v="3"/>
  </r>
  <r>
    <s v="E1094"/>
    <x v="93"/>
    <x v="1"/>
    <n v="31"/>
    <x v="9"/>
    <x v="4"/>
    <x v="7"/>
    <d v="2020-03-16T00:00:00"/>
    <m/>
    <n v="650000"/>
    <n v="0.15"/>
    <x v="0"/>
    <n v="6"/>
    <x v="1"/>
  </r>
  <r>
    <s v="E1095"/>
    <x v="94"/>
    <x v="0"/>
    <n v="33"/>
    <x v="2"/>
    <x v="0"/>
    <x v="0"/>
    <d v="2021-06-28T00:00:00"/>
    <m/>
    <n v="980000"/>
    <n v="0.2"/>
    <x v="0"/>
    <n v="5"/>
    <x v="1"/>
  </r>
  <r>
    <s v="E1096"/>
    <x v="95"/>
    <x v="1"/>
    <n v="42"/>
    <x v="3"/>
    <x v="2"/>
    <x v="1"/>
    <d v="2016-08-08T00:00:00"/>
    <m/>
    <n v="1350000"/>
    <n v="0.1"/>
    <x v="0"/>
    <n v="9"/>
    <x v="2"/>
  </r>
  <r>
    <s v="E1097"/>
    <x v="96"/>
    <x v="0"/>
    <n v="29"/>
    <x v="6"/>
    <x v="0"/>
    <x v="0"/>
    <d v="2022-01-31T00:00:00"/>
    <m/>
    <n v="700000"/>
    <n v="0.15"/>
    <x v="0"/>
    <n v="4"/>
    <x v="0"/>
  </r>
  <r>
    <s v="E1098"/>
    <x v="97"/>
    <x v="1"/>
    <n v="35"/>
    <x v="7"/>
    <x v="5"/>
    <x v="4"/>
    <d v="2018-12-17T00:00:00"/>
    <m/>
    <n v="1010000"/>
    <n v="0"/>
    <x v="0"/>
    <n v="7"/>
    <x v="1"/>
  </r>
  <r>
    <s v="E1099"/>
    <x v="98"/>
    <x v="0"/>
    <n v="40"/>
    <x v="5"/>
    <x v="4"/>
    <x v="3"/>
    <d v="2015-05-25T00:00:00"/>
    <d v="2025-09-30T00:00:00"/>
    <n v="1160000"/>
    <n v="0.2"/>
    <x v="1"/>
    <n v="10"/>
    <x v="3"/>
  </r>
  <r>
    <s v="E1100"/>
    <x v="99"/>
    <x v="1"/>
    <n v="28"/>
    <x v="8"/>
    <x v="0"/>
    <x v="2"/>
    <d v="2023-10-09T00:00:00"/>
    <m/>
    <n v="620000"/>
    <n v="0.1"/>
    <x v="0"/>
    <n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07C910-FCCD-4D34-8154-789A384923FF}" name="PivotTable9"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
  <location ref="AA4:AC11" firstHeaderRow="1" firstDataRow="2" firstDataCol="1"/>
  <pivotFields count="14">
    <pivotField showAll="0"/>
    <pivotField showAll="0"/>
    <pivotField axis="axisCol" showAll="0">
      <items count="3">
        <item x="1"/>
        <item x="0"/>
        <item t="default"/>
      </items>
    </pivotField>
    <pivotField showAll="0"/>
    <pivotField showAll="0"/>
    <pivotField axis="axisRow" showAll="0">
      <items count="15">
        <item x="4"/>
        <item m="1" x="13"/>
        <item m="1" x="9"/>
        <item x="2"/>
        <item x="1"/>
        <item x="0"/>
        <item m="1" x="12"/>
        <item x="5"/>
        <item x="3"/>
        <item m="1" x="8"/>
        <item m="1" x="10"/>
        <item m="1" x="7"/>
        <item m="1" x="6"/>
        <item m="1" x="11"/>
        <item t="default"/>
      </items>
    </pivotField>
    <pivotField showAll="0">
      <items count="9">
        <item x="2"/>
        <item x="3"/>
        <item x="1"/>
        <item x="7"/>
        <item x="5"/>
        <item x="6"/>
        <item x="4"/>
        <item x="0"/>
        <item t="default"/>
      </items>
    </pivotField>
    <pivotField numFmtId="14" showAll="0"/>
    <pivotField dataField="1" showAll="0"/>
    <pivotField showAll="0"/>
    <pivotField showAll="0"/>
    <pivotField showAll="0"/>
    <pivotField showAll="0"/>
    <pivotField showAll="0"/>
  </pivotFields>
  <rowFields count="1">
    <field x="5"/>
  </rowFields>
  <rowItems count="6">
    <i>
      <x/>
    </i>
    <i>
      <x v="3"/>
    </i>
    <i>
      <x v="4"/>
    </i>
    <i>
      <x v="5"/>
    </i>
    <i>
      <x v="7"/>
    </i>
    <i>
      <x v="8"/>
    </i>
  </rowItems>
  <colFields count="1">
    <field x="2"/>
  </colFields>
  <colItems count="2">
    <i>
      <x/>
    </i>
    <i>
      <x v="1"/>
    </i>
  </colItems>
  <dataFields count="1">
    <dataField name="Count of Exit Date" fld="8" subtotal="count" baseField="0" baseItem="0" numFmtId="1"/>
  </dataFields>
  <formats count="3">
    <format dxfId="277">
      <pivotArea outline="0" collapsedLevelsAreSubtotals="1" fieldPosition="0"/>
    </format>
    <format dxfId="276">
      <pivotArea dataOnly="0" labelOnly="1" fieldPosition="0">
        <references count="1">
          <reference field="2" count="0"/>
        </references>
      </pivotArea>
    </format>
    <format dxfId="275">
      <pivotArea dataOnly="0" labelOnly="1" grandCol="1" outline="0" fieldPosition="0"/>
    </format>
  </formats>
  <chartFormats count="5">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CA8C32-1BA2-40EA-9EC6-94727123A8A2}" name="PivotTable7"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
  <location ref="W4:Y10" firstHeaderRow="1" firstDataRow="2" firstDataCol="1"/>
  <pivotFields count="14">
    <pivotField showAll="0"/>
    <pivotField showAll="0"/>
    <pivotField axis="axisCol" showAll="0">
      <items count="3">
        <item x="1"/>
        <item x="0"/>
        <item t="default"/>
      </items>
    </pivotField>
    <pivotField showAll="0"/>
    <pivotField showAll="0"/>
    <pivotField showAll="0"/>
    <pivotField showAll="0">
      <items count="9">
        <item x="2"/>
        <item x="3"/>
        <item x="1"/>
        <item x="7"/>
        <item x="5"/>
        <item x="6"/>
        <item x="4"/>
        <item x="0"/>
        <item t="default"/>
      </items>
    </pivotField>
    <pivotField numFmtId="14" showAll="0"/>
    <pivotField dataField="1" showAll="0"/>
    <pivotField showAll="0"/>
    <pivotField showAll="0"/>
    <pivotField showAll="0"/>
    <pivotField showAll="0"/>
    <pivotField axis="axisRow" showAll="0">
      <items count="7">
        <item m="1" x="5"/>
        <item x="0"/>
        <item x="1"/>
        <item x="3"/>
        <item x="2"/>
        <item x="4"/>
        <item t="default"/>
      </items>
    </pivotField>
  </pivotFields>
  <rowFields count="1">
    <field x="13"/>
  </rowFields>
  <rowItems count="5">
    <i>
      <x v="1"/>
    </i>
    <i>
      <x v="2"/>
    </i>
    <i>
      <x v="3"/>
    </i>
    <i>
      <x v="4"/>
    </i>
    <i>
      <x v="5"/>
    </i>
  </rowItems>
  <colFields count="1">
    <field x="2"/>
  </colFields>
  <colItems count="2">
    <i>
      <x/>
    </i>
    <i>
      <x v="1"/>
    </i>
  </colItems>
  <dataFields count="1">
    <dataField name="Count of Exit Date" fld="8" subtotal="count" baseField="0" baseItem="0" numFmtId="1"/>
  </dataFields>
  <formats count="8">
    <format dxfId="285">
      <pivotArea outline="0" collapsedLevelsAreSubtotals="1" fieldPosition="0"/>
    </format>
    <format dxfId="284">
      <pivotArea outline="0" collapsedLevelsAreSubtotals="1" fieldPosition="0"/>
    </format>
    <format dxfId="283">
      <pivotArea field="13" type="button" dataOnly="0" labelOnly="1" outline="0" axis="axisRow" fieldPosition="0"/>
    </format>
    <format dxfId="282">
      <pivotArea dataOnly="0" labelOnly="1" fieldPosition="0">
        <references count="1">
          <reference field="13" count="0"/>
        </references>
      </pivotArea>
    </format>
    <format dxfId="281">
      <pivotArea dataOnly="0" labelOnly="1" grandRow="1" outline="0" fieldPosition="0"/>
    </format>
    <format dxfId="280">
      <pivotArea dataOnly="0" labelOnly="1" fieldPosition="0">
        <references count="1">
          <reference field="2" count="0"/>
        </references>
      </pivotArea>
    </format>
    <format dxfId="279">
      <pivotArea dataOnly="0" labelOnly="1" grandCol="1" outline="0" fieldPosition="0"/>
    </format>
    <format dxfId="278">
      <pivotArea dataOnly="0" labelOnly="1" fieldPosition="0">
        <references count="1">
          <reference field="2" count="1">
            <x v="0"/>
          </reference>
        </references>
      </pivotArea>
    </format>
  </formats>
  <chartFormats count="3">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70B061-D9DA-4063-AC60-6F74DBEFB117}" name="PivotTable6"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5">
  <location ref="R4:U15" firstHeaderRow="1" firstDataRow="2" firstDataCol="1"/>
  <pivotFields count="14">
    <pivotField showAll="0"/>
    <pivotField showAll="0"/>
    <pivotField axis="axisCol" showAll="0">
      <items count="3">
        <item x="1"/>
        <item x="0"/>
        <item t="default"/>
      </items>
    </pivotField>
    <pivotField showAll="0"/>
    <pivotField axis="axisRow" showAll="0">
      <items count="102">
        <item m="1" x="39"/>
        <item m="1" x="74"/>
        <item m="1" x="83"/>
        <item m="1" x="75"/>
        <item m="1" x="79"/>
        <item m="1" x="48"/>
        <item m="1" x="56"/>
        <item x="5"/>
        <item m="1" x="98"/>
        <item m="1" x="71"/>
        <item x="6"/>
        <item m="1" x="70"/>
        <item m="1" x="30"/>
        <item m="1" x="26"/>
        <item m="1" x="96"/>
        <item m="1" x="94"/>
        <item m="1" x="36"/>
        <item m="1" x="21"/>
        <item m="1" x="66"/>
        <item x="9"/>
        <item x="0"/>
        <item m="1" x="61"/>
        <item m="1" x="42"/>
        <item m="1" x="90"/>
        <item m="1" x="81"/>
        <item m="1" x="10"/>
        <item m="1" x="55"/>
        <item m="1" x="49"/>
        <item m="1" x="91"/>
        <item m="1" x="33"/>
        <item m="1" x="29"/>
        <item m="1" x="88"/>
        <item m="1" x="23"/>
        <item x="3"/>
        <item m="1" x="97"/>
        <item m="1" x="59"/>
        <item m="1" x="69"/>
        <item m="1" x="86"/>
        <item m="1" x="72"/>
        <item x="1"/>
        <item m="1" x="43"/>
        <item m="1" x="32"/>
        <item m="1" x="16"/>
        <item m="1" x="82"/>
        <item m="1" x="28"/>
        <item m="1" x="95"/>
        <item m="1" x="67"/>
        <item m="1" x="80"/>
        <item m="1" x="64"/>
        <item x="7"/>
        <item m="1" x="77"/>
        <item m="1" x="20"/>
        <item m="1" x="54"/>
        <item m="1" x="13"/>
        <item m="1" x="52"/>
        <item m="1" x="89"/>
        <item m="1" x="99"/>
        <item m="1" x="46"/>
        <item m="1" x="65"/>
        <item m="1" x="17"/>
        <item m="1" x="22"/>
        <item m="1" x="50"/>
        <item m="1" x="38"/>
        <item m="1" x="76"/>
        <item m="1" x="31"/>
        <item m="1" x="62"/>
        <item x="4"/>
        <item m="1" x="37"/>
        <item m="1" x="15"/>
        <item m="1" x="60"/>
        <item m="1" x="57"/>
        <item m="1" x="12"/>
        <item m="1" x="45"/>
        <item m="1" x="100"/>
        <item m="1" x="84"/>
        <item m="1" x="58"/>
        <item m="1" x="78"/>
        <item m="1" x="27"/>
        <item m="1" x="14"/>
        <item m="1" x="47"/>
        <item m="1" x="63"/>
        <item m="1" x="73"/>
        <item m="1" x="18"/>
        <item m="1" x="40"/>
        <item m="1" x="92"/>
        <item m="1" x="85"/>
        <item m="1" x="44"/>
        <item x="2"/>
        <item m="1" x="51"/>
        <item m="1" x="53"/>
        <item m="1" x="93"/>
        <item m="1" x="35"/>
        <item m="1" x="41"/>
        <item m="1" x="11"/>
        <item m="1" x="25"/>
        <item m="1" x="87"/>
        <item m="1" x="24"/>
        <item m="1" x="34"/>
        <item m="1" x="19"/>
        <item m="1" x="68"/>
        <item x="8"/>
        <item t="default"/>
      </items>
    </pivotField>
    <pivotField showAll="0"/>
    <pivotField showAll="0">
      <items count="9">
        <item x="2"/>
        <item x="3"/>
        <item x="1"/>
        <item x="7"/>
        <item x="5"/>
        <item x="6"/>
        <item x="4"/>
        <item x="0"/>
        <item t="default"/>
      </items>
    </pivotField>
    <pivotField numFmtId="14" showAll="0"/>
    <pivotField showAll="0"/>
    <pivotField showAll="0"/>
    <pivotField showAll="0"/>
    <pivotField showAll="0"/>
    <pivotField dataField="1" showAll="0"/>
    <pivotField showAll="0"/>
  </pivotFields>
  <rowFields count="1">
    <field x="4"/>
  </rowFields>
  <rowItems count="10">
    <i>
      <x v="7"/>
    </i>
    <i>
      <x v="10"/>
    </i>
    <i>
      <x v="19"/>
    </i>
    <i>
      <x v="20"/>
    </i>
    <i>
      <x v="33"/>
    </i>
    <i>
      <x v="39"/>
    </i>
    <i>
      <x v="49"/>
    </i>
    <i>
      <x v="66"/>
    </i>
    <i>
      <x v="87"/>
    </i>
    <i>
      <x v="100"/>
    </i>
  </rowItems>
  <colFields count="1">
    <field x="2"/>
  </colFields>
  <colItems count="3">
    <i>
      <x/>
    </i>
    <i>
      <x v="1"/>
    </i>
    <i t="grand">
      <x/>
    </i>
  </colItems>
  <dataFields count="1">
    <dataField name="Average of Year" fld="12" subtotal="average" baseField="4" baseItem="4" numFmtId="2"/>
  </dataFields>
  <formats count="2">
    <format dxfId="287">
      <pivotArea outline="0" collapsedLevelsAreSubtotals="1" fieldPosition="0"/>
    </format>
    <format dxfId="286">
      <pivotArea dataOnly="0" labelOnly="1" grandCol="1" outline="0" fieldPosition="0"/>
    </format>
  </formats>
  <chartFormats count="2">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D11591-944D-439B-9F1B-CED8FB07D825}"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O4:P11" firstHeaderRow="1" firstDataRow="1" firstDataCol="1" rowPageCount="1" colPageCount="1"/>
  <pivotFields count="14">
    <pivotField dataField="1" showAll="0"/>
    <pivotField showAll="0"/>
    <pivotField showAll="0"/>
    <pivotField showAll="0"/>
    <pivotField showAll="0"/>
    <pivotField axis="axisRow" showAll="0">
      <items count="15">
        <item x="4"/>
        <item m="1" x="13"/>
        <item m="1" x="9"/>
        <item x="2"/>
        <item x="1"/>
        <item x="0"/>
        <item m="1" x="12"/>
        <item x="5"/>
        <item x="3"/>
        <item m="1" x="8"/>
        <item m="1" x="10"/>
        <item m="1" x="7"/>
        <item m="1" x="6"/>
        <item m="1" x="11"/>
        <item t="default"/>
      </items>
    </pivotField>
    <pivotField showAll="0">
      <items count="9">
        <item x="2"/>
        <item x="3"/>
        <item x="1"/>
        <item x="7"/>
        <item x="5"/>
        <item x="6"/>
        <item x="4"/>
        <item x="0"/>
        <item t="default"/>
      </items>
    </pivotField>
    <pivotField numFmtId="14" showAll="0"/>
    <pivotField showAll="0"/>
    <pivotField showAll="0"/>
    <pivotField showAll="0"/>
    <pivotField axis="axisPage" showAll="0">
      <items count="3">
        <item x="0"/>
        <item x="1"/>
        <item t="default"/>
      </items>
    </pivotField>
    <pivotField showAll="0"/>
    <pivotField showAll="0"/>
  </pivotFields>
  <rowFields count="1">
    <field x="5"/>
  </rowFields>
  <rowItems count="7">
    <i>
      <x/>
    </i>
    <i>
      <x v="3"/>
    </i>
    <i>
      <x v="4"/>
    </i>
    <i>
      <x v="5"/>
    </i>
    <i>
      <x v="7"/>
    </i>
    <i>
      <x v="8"/>
    </i>
    <i t="grand">
      <x/>
    </i>
  </rowItems>
  <colItems count="1">
    <i/>
  </colItems>
  <pageFields count="1">
    <pageField fld="11" item="0" hier="-1"/>
  </pageFields>
  <dataFields count="1">
    <dataField name="Count" fld="0" subtotal="count" baseField="0" baseItem="0"/>
  </dataFields>
  <chartFormats count="7">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5" count="1" selected="0">
            <x v="0"/>
          </reference>
        </references>
      </pivotArea>
    </chartFormat>
    <chartFormat chart="2" format="10">
      <pivotArea type="data" outline="0" fieldPosition="0">
        <references count="2">
          <reference field="4294967294" count="1" selected="0">
            <x v="0"/>
          </reference>
          <reference field="5" count="1" selected="0">
            <x v="3"/>
          </reference>
        </references>
      </pivotArea>
    </chartFormat>
    <chartFormat chart="2" format="11">
      <pivotArea type="data" outline="0" fieldPosition="0">
        <references count="2">
          <reference field="4294967294" count="1" selected="0">
            <x v="0"/>
          </reference>
          <reference field="5" count="1" selected="0">
            <x v="4"/>
          </reference>
        </references>
      </pivotArea>
    </chartFormat>
    <chartFormat chart="2" format="12">
      <pivotArea type="data" outline="0" fieldPosition="0">
        <references count="2">
          <reference field="4294967294" count="1" selected="0">
            <x v="0"/>
          </reference>
          <reference field="5" count="1" selected="0">
            <x v="5"/>
          </reference>
        </references>
      </pivotArea>
    </chartFormat>
    <chartFormat chart="2" format="13">
      <pivotArea type="data" outline="0" fieldPosition="0">
        <references count="2">
          <reference field="4294967294" count="1" selected="0">
            <x v="0"/>
          </reference>
          <reference field="5" count="1" selected="0">
            <x v="7"/>
          </reference>
        </references>
      </pivotArea>
    </chartFormat>
    <chartFormat chart="2" format="14">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7EDD65-9BE9-47EE-A31A-A474CC9B3EAA}" name="PivotTable3"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rowHeaderCaption="Age">
  <location ref="H4:K10" firstHeaderRow="1" firstDataRow="2" firstDataCol="1" rowPageCount="1" colPageCount="1"/>
  <pivotFields count="14">
    <pivotField dataField="1" showAll="0"/>
    <pivotField showAll="0"/>
    <pivotField axis="axisCol" showAll="0">
      <items count="3">
        <item x="1"/>
        <item x="0"/>
        <item t="default"/>
      </items>
    </pivotField>
    <pivotField showAll="0"/>
    <pivotField showAll="0"/>
    <pivotField showAll="0"/>
    <pivotField showAll="0">
      <items count="9">
        <item x="2"/>
        <item x="3"/>
        <item x="1"/>
        <item x="7"/>
        <item x="5"/>
        <item x="6"/>
        <item x="4"/>
        <item x="0"/>
        <item t="default"/>
      </items>
    </pivotField>
    <pivotField numFmtId="14" showAll="0"/>
    <pivotField showAll="0"/>
    <pivotField showAll="0"/>
    <pivotField showAll="0"/>
    <pivotField axis="axisPage" showAll="0">
      <items count="3">
        <item x="0"/>
        <item x="1"/>
        <item t="default"/>
      </items>
    </pivotField>
    <pivotField showAll="0"/>
    <pivotField axis="axisRow" showAll="0">
      <items count="7">
        <item m="1" x="5"/>
        <item x="0"/>
        <item x="1"/>
        <item x="3"/>
        <item x="2"/>
        <item x="4"/>
        <item t="default"/>
      </items>
    </pivotField>
  </pivotFields>
  <rowFields count="1">
    <field x="13"/>
  </rowFields>
  <rowItems count="5">
    <i>
      <x v="1"/>
    </i>
    <i>
      <x v="2"/>
    </i>
    <i>
      <x v="3"/>
    </i>
    <i>
      <x v="4"/>
    </i>
    <i>
      <x v="5"/>
    </i>
  </rowItems>
  <colFields count="1">
    <field x="2"/>
  </colFields>
  <colItems count="3">
    <i>
      <x/>
    </i>
    <i>
      <x v="1"/>
    </i>
    <i t="grand">
      <x/>
    </i>
  </colItems>
  <pageFields count="1">
    <pageField fld="11" item="0" hier="-1"/>
  </pageFields>
  <dataFields count="1">
    <dataField name="Count of Employee ID" fld="0" subtotal="count" baseField="0" baseItem="0"/>
  </dataFields>
  <formats count="2">
    <format dxfId="289">
      <pivotArea dataOnly="0" labelOnly="1" grandCol="1" outline="0" fieldPosition="0"/>
    </format>
    <format dxfId="288">
      <pivotArea dataOnly="0" labelOnly="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FB7F6B-F33B-4213-87CB-F943FAA87D58}"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E4:F15" firstHeaderRow="1" firstDataRow="1" firstDataCol="1" rowPageCount="1" colPageCount="1"/>
  <pivotFields count="14">
    <pivotField showAll="0"/>
    <pivotField axis="axisRow" showAll="0" measureFilter="1" sortType="descending">
      <items count="101">
        <item x="32"/>
        <item x="82"/>
        <item x="20"/>
        <item x="12"/>
        <item x="72"/>
        <item x="61"/>
        <item x="90"/>
        <item x="21"/>
        <item x="50"/>
        <item x="93"/>
        <item x="7"/>
        <item x="75"/>
        <item x="0"/>
        <item x="40"/>
        <item x="53"/>
        <item x="58"/>
        <item x="98"/>
        <item x="37"/>
        <item x="27"/>
        <item x="62"/>
        <item x="3"/>
        <item x="49"/>
        <item x="79"/>
        <item x="64"/>
        <item x="57"/>
        <item x="45"/>
        <item x="56"/>
        <item x="85"/>
        <item x="19"/>
        <item x="30"/>
        <item x="44"/>
        <item x="48"/>
        <item x="8"/>
        <item x="23"/>
        <item x="15"/>
        <item x="89"/>
        <item x="78"/>
        <item x="46"/>
        <item x="13"/>
        <item x="81"/>
        <item x="39"/>
        <item x="28"/>
        <item x="14"/>
        <item x="68"/>
        <item x="86"/>
        <item x="5"/>
        <item x="91"/>
        <item x="71"/>
        <item x="10"/>
        <item x="41"/>
        <item x="83"/>
        <item x="74"/>
        <item x="36"/>
        <item x="17"/>
        <item x="69"/>
        <item x="9"/>
        <item x="97"/>
        <item x="31"/>
        <item x="88"/>
        <item x="24"/>
        <item x="70"/>
        <item x="43"/>
        <item x="77"/>
        <item x="1"/>
        <item x="65"/>
        <item x="2"/>
        <item x="54"/>
        <item x="16"/>
        <item x="96"/>
        <item x="76"/>
        <item x="35"/>
        <item x="51"/>
        <item x="22"/>
        <item x="87"/>
        <item x="38"/>
        <item x="99"/>
        <item x="80"/>
        <item x="18"/>
        <item x="29"/>
        <item x="67"/>
        <item x="60"/>
        <item x="55"/>
        <item x="25"/>
        <item x="95"/>
        <item x="34"/>
        <item x="66"/>
        <item x="92"/>
        <item x="4"/>
        <item x="42"/>
        <item x="63"/>
        <item x="33"/>
        <item x="11"/>
        <item x="73"/>
        <item x="47"/>
        <item x="84"/>
        <item x="59"/>
        <item x="94"/>
        <item x="52"/>
        <item x="6"/>
        <item x="2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9">
        <item x="2"/>
        <item x="3"/>
        <item x="1"/>
        <item x="7"/>
        <item x="5"/>
        <item x="6"/>
        <item x="4"/>
        <item x="0"/>
        <item t="default"/>
      </items>
    </pivotField>
    <pivotField numFmtId="14" showAll="0"/>
    <pivotField showAll="0"/>
    <pivotField dataField="1" showAll="0"/>
    <pivotField showAll="0"/>
    <pivotField axis="axisPage" showAll="0">
      <items count="3">
        <item x="0"/>
        <item x="1"/>
        <item t="default"/>
      </items>
    </pivotField>
    <pivotField showAll="0"/>
    <pivotField showAll="0"/>
  </pivotFields>
  <rowFields count="1">
    <field x="1"/>
  </rowFields>
  <rowItems count="11">
    <i>
      <x v="43"/>
    </i>
    <i>
      <x v="31"/>
    </i>
    <i>
      <x v="29"/>
    </i>
    <i>
      <x v="67"/>
    </i>
    <i>
      <x v="58"/>
    </i>
    <i>
      <x v="97"/>
    </i>
    <i>
      <x v="83"/>
    </i>
    <i>
      <x v="48"/>
    </i>
    <i>
      <x v="59"/>
    </i>
    <i>
      <x v="11"/>
    </i>
    <i t="grand">
      <x/>
    </i>
  </rowItems>
  <colItems count="1">
    <i/>
  </colItems>
  <pageFields count="1">
    <pageField fld="11" item="0" hier="-1"/>
  </pageFields>
  <dataFields count="1">
    <dataField name="Sum of Annual" fld="9" baseField="1" baseItem="43" numFmtId="164"/>
  </dataFields>
  <formats count="1">
    <format dxfId="290">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43"/>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6DD783-F72A-481A-98B5-5405DB057B59}"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6" firstHeaderRow="1" firstDataRow="1" firstDataCol="1"/>
  <pivotFields count="14">
    <pivotField dataField="1" showAll="0"/>
    <pivotField showAll="0"/>
    <pivotField showAll="0"/>
    <pivotField showAll="0"/>
    <pivotField showAll="0"/>
    <pivotField showAll="0"/>
    <pivotField showAll="0">
      <items count="9">
        <item x="2"/>
        <item x="3"/>
        <item x="1"/>
        <item x="7"/>
        <item x="5"/>
        <item x="6"/>
        <item x="4"/>
        <item x="0"/>
        <item t="default"/>
      </items>
    </pivotField>
    <pivotField numFmtId="14" showAll="0"/>
    <pivotField showAll="0"/>
    <pivotField showAll="0"/>
    <pivotField showAll="0"/>
    <pivotField axis="axisRow" showAll="0">
      <items count="3">
        <item x="0"/>
        <item x="1"/>
        <item t="default"/>
      </items>
    </pivotField>
    <pivotField showAll="0"/>
    <pivotField showAll="0"/>
  </pivotFields>
  <rowFields count="1">
    <field x="11"/>
  </rowFields>
  <rowItems count="3">
    <i>
      <x/>
    </i>
    <i>
      <x v="1"/>
    </i>
    <i t="grand">
      <x/>
    </i>
  </rowItems>
  <colItems count="1">
    <i/>
  </colItems>
  <dataFields count="1">
    <dataField name="Count of Emp" fld="0"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 xr10:uid="{BA7CC8FD-6200-47F7-8CE6-CF2AFE2609E6}" sourceName="Business">
  <pivotTables>
    <pivotTable tabId="2" name="PivotTable2"/>
    <pivotTable tabId="2" name="PivotTable1"/>
    <pivotTable tabId="2" name="PivotTable3"/>
    <pivotTable tabId="2" name="PivotTable4"/>
    <pivotTable tabId="2" name="PivotTable6"/>
    <pivotTable tabId="2" name="PivotTable7"/>
    <pivotTable tabId="2" name="PivotTable9"/>
  </pivotTables>
  <data>
    <tabular pivotCacheId="1128936027">
      <items count="8">
        <i x="2" s="1"/>
        <i x="3" s="1"/>
        <i x="1" s="1"/>
        <i x="7" s="1"/>
        <i x="5" s="1"/>
        <i x="6" s="1"/>
        <i x="4"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 xr10:uid="{7E199030-659B-477B-94BF-C1FF321863A3}" cache="Slicer_Business" caption="Business"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9DDC409-67D3-4FC7-8881-01095C2091AF}" name="Table2" displayName="Table2" ref="H13:M18" totalsRowShown="0">
  <autoFilter ref="H13:M18" xr:uid="{69DDC409-67D3-4FC7-8881-01095C2091AF}"/>
  <tableColumns count="6">
    <tableColumn id="1" xr3:uid="{5592C971-1BA8-4CB6-AA68-EBEBF0DC751F}" name="Age">
      <calculatedColumnFormula>H6</calculatedColumnFormula>
    </tableColumn>
    <tableColumn id="2" xr3:uid="{3F5CA1B1-678E-4086-8774-55CBA802F79F}" name="X">
      <calculatedColumnFormula>MAX($J$14:$L$18)-J14</calculatedColumnFormula>
    </tableColumn>
    <tableColumn id="3" xr3:uid="{AFFC092E-883A-4887-A2A1-72ABDC3A1E05}" name="Male">
      <calculatedColumnFormula>GETPIVOTDATA("Employee ID",$H$4,"Gender","Male","Age Group",H14)</calculatedColumnFormula>
    </tableColumn>
    <tableColumn id="4" xr3:uid="{96AB7BCC-5168-421E-B46C-2D33E7187DF2}" name="Center"/>
    <tableColumn id="5" xr3:uid="{064631E3-50F3-4583-8E8C-76DE6CCF11F8}" name="Female">
      <calculatedColumnFormula>GETPIVOTDATA("Employee ID",$H$4,"Gender","Female","Age Group",H14)</calculatedColumnFormula>
    </tableColumn>
    <tableColumn id="6" xr3:uid="{5B521A8D-DAB4-4579-AB08-83D86EB24CEB}" name="Y">
      <calculatedColumnFormula>MAX($J$14:$L$18)-L14</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0CCE38-4083-4B22-967C-959C2C9A43C0}" name="Table1" displayName="Table1" ref="A1:N101" totalsRowShown="0">
  <autoFilter ref="A1:N101" xr:uid="{890CCE38-4083-4B22-967C-959C2C9A43C0}"/>
  <tableColumns count="14">
    <tableColumn id="1" xr3:uid="{EE694002-952C-4EFC-A6E2-2E4BEC37DB3F}" name="Employee ID"/>
    <tableColumn id="2" xr3:uid="{EDB7A000-BCBC-4D2B-B8DF-F4C519E9FF78}" name="Full Name"/>
    <tableColumn id="3" xr3:uid="{53943379-B2B2-4707-A4CC-5C7E30CD6767}" name="Gender"/>
    <tableColumn id="4" xr3:uid="{1F5FD9FD-3C00-4BA5-AA1A-097BFBDB0AFD}" name="Age"/>
    <tableColumn id="5" xr3:uid="{4A68A0EB-6851-4968-887B-B14F57DBA911}" name="Job"/>
    <tableColumn id="6" xr3:uid="{796A3649-0561-4811-B9E7-0087FC46475D}" name="Department"/>
    <tableColumn id="7" xr3:uid="{71BA409A-9E92-4FCB-AD58-7F4882B1C137}" name="Business"/>
    <tableColumn id="8" xr3:uid="{BF9FB296-CFFE-4E76-A88F-9C3B050A994D}" name="Hire Date" dataDxfId="274"/>
    <tableColumn id="9" xr3:uid="{EDA0413E-AC86-4FDE-BC1E-FDDD2492155D}" name="Exit Date"/>
    <tableColumn id="10" xr3:uid="{CBDA2673-868E-4F1D-8A8A-BE126C091A76}" name="Annual Salary"/>
    <tableColumn id="11" xr3:uid="{B38F3845-AA48-45C1-B843-E55E7311512D}" name="Bonus"/>
    <tableColumn id="12" xr3:uid="{FD240159-9DCB-46EF-8D28-10B10B3CCB07}" name="Status"/>
    <tableColumn id="13" xr3:uid="{2DE9DB5B-E5A1-46C6-A9FD-ED9FB81EDBAF}" name="Year" dataDxfId="273">
      <calculatedColumnFormula>IF(ISBLANK(Table1[[#This Row],[Exit Date]]), DATEDIF(Table1[[#This Row],[Hire Date]], TODAY(), "Y"), DATEDIF(Table1[[#This Row],[Hire Date]], Table1[[#This Row],[Exit Date]], "Y"))</calculatedColumnFormula>
    </tableColumn>
    <tableColumn id="14" xr3:uid="{F5E8CF01-EFB7-40BB-AC6B-D6A9DCB8EC8D}" name="Age Group" dataDxfId="272">
      <calculatedColumnFormula>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FB08A-ED84-4CE9-A3A8-6DA7B4B9B469}">
  <dimension ref="A1:AC19"/>
  <sheetViews>
    <sheetView showGridLines="0" workbookViewId="0">
      <selection activeCell="E5" sqref="E5:E14"/>
    </sheetView>
  </sheetViews>
  <sheetFormatPr defaultRowHeight="14.4" x14ac:dyDescent="0.3"/>
  <cols>
    <col min="1" max="2" width="12.5546875" bestFit="1" customWidth="1"/>
    <col min="3" max="3" width="5" customWidth="1"/>
    <col min="4" max="4" width="2.109375" customWidth="1"/>
    <col min="5" max="5" width="13.6640625" bestFit="1" customWidth="1"/>
    <col min="6" max="6" width="13.5546875" bestFit="1" customWidth="1"/>
    <col min="7" max="7" width="1.77734375" customWidth="1"/>
    <col min="8" max="8" width="6.44140625" bestFit="1" customWidth="1"/>
    <col min="9" max="9" width="7.88671875" customWidth="1"/>
    <col min="10" max="10" width="7.44140625" bestFit="1" customWidth="1"/>
    <col min="11" max="11" width="8.77734375" bestFit="1" customWidth="1"/>
    <col min="12" max="12" width="9.21875" bestFit="1" customWidth="1"/>
    <col min="13" max="13" width="4.21875" bestFit="1" customWidth="1"/>
    <col min="14" max="14" width="1.88671875" customWidth="1"/>
    <col min="15" max="15" width="12.5546875" bestFit="1" customWidth="1"/>
    <col min="16" max="16" width="6.109375" bestFit="1" customWidth="1"/>
    <col min="17" max="17" width="2.33203125" customWidth="1"/>
    <col min="18" max="18" width="17.6640625" bestFit="1" customWidth="1"/>
    <col min="19" max="19" width="7" bestFit="1" customWidth="1"/>
    <col min="20" max="20" width="5.21875" bestFit="1" customWidth="1"/>
    <col min="21" max="21" width="6.109375" bestFit="1" customWidth="1"/>
    <col min="22" max="22" width="2.44140625" customWidth="1"/>
    <col min="23" max="23" width="12.5546875" bestFit="1" customWidth="1"/>
    <col min="24" max="24" width="7" bestFit="1" customWidth="1"/>
    <col min="25" max="25" width="5.21875" bestFit="1" customWidth="1"/>
    <col min="26" max="26" width="2.77734375" customWidth="1"/>
    <col min="27" max="27" width="12.5546875" bestFit="1" customWidth="1"/>
    <col min="28" max="28" width="7" bestFit="1" customWidth="1"/>
    <col min="29" max="29" width="5.21875" bestFit="1" customWidth="1"/>
    <col min="30" max="30" width="6.109375" bestFit="1" customWidth="1"/>
  </cols>
  <sheetData>
    <row r="1" spans="1:29" x14ac:dyDescent="0.3">
      <c r="A1" s="6" t="s">
        <v>244</v>
      </c>
      <c r="B1" s="6"/>
      <c r="E1" s="6" t="s">
        <v>245</v>
      </c>
      <c r="H1" s="6" t="s">
        <v>252</v>
      </c>
      <c r="O1" s="6" t="s">
        <v>256</v>
      </c>
      <c r="R1" s="6" t="s">
        <v>257</v>
      </c>
      <c r="W1" s="6" t="s">
        <v>260</v>
      </c>
      <c r="AA1" s="6" t="s">
        <v>261</v>
      </c>
    </row>
    <row r="2" spans="1:29" x14ac:dyDescent="0.3">
      <c r="E2" s="2" t="s">
        <v>11</v>
      </c>
      <c r="F2" t="s">
        <v>18</v>
      </c>
      <c r="H2" s="2" t="s">
        <v>11</v>
      </c>
      <c r="I2" t="s">
        <v>18</v>
      </c>
      <c r="O2" s="2" t="s">
        <v>11</v>
      </c>
      <c r="P2" t="s">
        <v>18</v>
      </c>
    </row>
    <row r="3" spans="1:29" x14ac:dyDescent="0.3">
      <c r="A3" s="2" t="s">
        <v>241</v>
      </c>
      <c r="B3" t="s">
        <v>262</v>
      </c>
    </row>
    <row r="4" spans="1:29" x14ac:dyDescent="0.3">
      <c r="A4" s="3" t="s">
        <v>18</v>
      </c>
      <c r="B4" s="10">
        <v>91</v>
      </c>
      <c r="E4" s="2" t="s">
        <v>241</v>
      </c>
      <c r="F4" t="s">
        <v>263</v>
      </c>
      <c r="H4" s="2" t="s">
        <v>243</v>
      </c>
      <c r="I4" s="2" t="s">
        <v>251</v>
      </c>
      <c r="O4" s="2" t="s">
        <v>241</v>
      </c>
      <c r="P4" t="s">
        <v>264</v>
      </c>
      <c r="R4" s="2" t="s">
        <v>258</v>
      </c>
      <c r="S4" s="2" t="s">
        <v>251</v>
      </c>
      <c r="W4" s="2" t="s">
        <v>259</v>
      </c>
      <c r="X4" s="2" t="s">
        <v>251</v>
      </c>
      <c r="AA4" s="2" t="s">
        <v>259</v>
      </c>
      <c r="AB4" s="2" t="s">
        <v>251</v>
      </c>
    </row>
    <row r="5" spans="1:29" ht="28.8" x14ac:dyDescent="0.3">
      <c r="A5" s="3" t="s">
        <v>33</v>
      </c>
      <c r="B5" s="10">
        <v>9</v>
      </c>
      <c r="E5" s="3" t="s">
        <v>176</v>
      </c>
      <c r="F5" s="5">
        <v>1650000</v>
      </c>
      <c r="H5" s="2" t="s">
        <v>3</v>
      </c>
      <c r="I5" s="9" t="s">
        <v>21</v>
      </c>
      <c r="J5" s="9" t="s">
        <v>14</v>
      </c>
      <c r="K5" s="9" t="s">
        <v>242</v>
      </c>
      <c r="O5" s="3" t="s">
        <v>42</v>
      </c>
      <c r="P5" s="10">
        <v>19</v>
      </c>
      <c r="R5" s="2" t="s">
        <v>241</v>
      </c>
      <c r="S5" t="s">
        <v>21</v>
      </c>
      <c r="T5" t="s">
        <v>14</v>
      </c>
      <c r="U5" s="9" t="s">
        <v>242</v>
      </c>
      <c r="W5" s="12" t="s">
        <v>241</v>
      </c>
      <c r="X5" s="13" t="s">
        <v>21</v>
      </c>
      <c r="Y5" s="13" t="s">
        <v>14</v>
      </c>
      <c r="AA5" s="2" t="s">
        <v>241</v>
      </c>
      <c r="AB5" s="9" t="s">
        <v>21</v>
      </c>
      <c r="AC5" s="9" t="s">
        <v>14</v>
      </c>
    </row>
    <row r="6" spans="1:29" x14ac:dyDescent="0.3">
      <c r="A6" s="3" t="s">
        <v>242</v>
      </c>
      <c r="B6" s="10">
        <v>100</v>
      </c>
      <c r="E6" s="3" t="s">
        <v>136</v>
      </c>
      <c r="F6" s="5">
        <v>1550000</v>
      </c>
      <c r="H6" s="3" t="s">
        <v>246</v>
      </c>
      <c r="I6" s="10">
        <v>17</v>
      </c>
      <c r="J6" s="10">
        <v>15</v>
      </c>
      <c r="K6" s="10">
        <v>32</v>
      </c>
      <c r="O6" s="3" t="s">
        <v>31</v>
      </c>
      <c r="P6" s="10">
        <v>7</v>
      </c>
      <c r="R6" s="3" t="s">
        <v>41</v>
      </c>
      <c r="S6" s="7">
        <v>4.8571428571428568</v>
      </c>
      <c r="T6" s="7">
        <v>7.333333333333333</v>
      </c>
      <c r="U6" s="7">
        <v>5.6</v>
      </c>
      <c r="W6" s="3" t="s">
        <v>246</v>
      </c>
      <c r="X6" s="11">
        <v>2</v>
      </c>
      <c r="Y6" s="11"/>
      <c r="AA6" s="3" t="s">
        <v>42</v>
      </c>
      <c r="AB6" s="8"/>
      <c r="AC6" s="8">
        <v>1</v>
      </c>
    </row>
    <row r="7" spans="1:29" x14ac:dyDescent="0.3">
      <c r="E7" s="3" t="s">
        <v>100</v>
      </c>
      <c r="F7" s="5">
        <v>1500000</v>
      </c>
      <c r="H7" s="3" t="s">
        <v>247</v>
      </c>
      <c r="I7" s="10">
        <v>15</v>
      </c>
      <c r="J7" s="10">
        <v>10</v>
      </c>
      <c r="K7" s="10">
        <v>25</v>
      </c>
      <c r="O7" s="3" t="s">
        <v>23</v>
      </c>
      <c r="P7" s="10">
        <v>10</v>
      </c>
      <c r="R7" s="3" t="s">
        <v>80</v>
      </c>
      <c r="S7" s="7"/>
      <c r="T7" s="7">
        <v>5.6</v>
      </c>
      <c r="U7" s="7">
        <v>5.6</v>
      </c>
      <c r="W7" s="3" t="s">
        <v>247</v>
      </c>
      <c r="X7" s="11">
        <v>2</v>
      </c>
      <c r="Y7" s="11">
        <v>1</v>
      </c>
      <c r="AA7" s="3" t="s">
        <v>31</v>
      </c>
      <c r="AB7" s="8">
        <v>2</v>
      </c>
      <c r="AC7" s="8">
        <v>1</v>
      </c>
    </row>
    <row r="8" spans="1:29" x14ac:dyDescent="0.3">
      <c r="E8" s="3" t="s">
        <v>69</v>
      </c>
      <c r="F8" s="5">
        <v>1450000</v>
      </c>
      <c r="H8" s="3" t="s">
        <v>248</v>
      </c>
      <c r="I8" s="10">
        <v>9</v>
      </c>
      <c r="J8" s="10">
        <v>11</v>
      </c>
      <c r="K8" s="10">
        <v>20</v>
      </c>
      <c r="O8" s="3" t="s">
        <v>16</v>
      </c>
      <c r="P8" s="10">
        <v>37</v>
      </c>
      <c r="R8" s="3" t="s">
        <v>59</v>
      </c>
      <c r="S8" s="7">
        <v>3.7142857142857144</v>
      </c>
      <c r="T8" s="7">
        <v>2.6666666666666665</v>
      </c>
      <c r="U8" s="7">
        <v>3.4</v>
      </c>
      <c r="W8" s="3" t="s">
        <v>248</v>
      </c>
      <c r="X8" s="11">
        <v>1</v>
      </c>
      <c r="Y8" s="11">
        <v>3</v>
      </c>
      <c r="AA8" s="3" t="s">
        <v>23</v>
      </c>
      <c r="AB8" s="8">
        <v>2</v>
      </c>
      <c r="AC8" s="8"/>
    </row>
    <row r="9" spans="1:29" x14ac:dyDescent="0.3">
      <c r="A9" t="str">
        <f>A4</f>
        <v>Active</v>
      </c>
      <c r="B9">
        <f>GETPIVOTDATA("Employee ID",$A$3,"Status",A9)</f>
        <v>91</v>
      </c>
      <c r="C9" s="4">
        <f>B9/B11</f>
        <v>0.91</v>
      </c>
      <c r="E9" s="3" t="s">
        <v>216</v>
      </c>
      <c r="F9" s="5">
        <v>1420000</v>
      </c>
      <c r="H9" s="3" t="s">
        <v>249</v>
      </c>
      <c r="I9" s="10">
        <v>4</v>
      </c>
      <c r="J9" s="10">
        <v>9</v>
      </c>
      <c r="K9" s="10">
        <v>13</v>
      </c>
      <c r="O9" s="3" t="s">
        <v>52</v>
      </c>
      <c r="P9" s="10">
        <v>7</v>
      </c>
      <c r="R9" s="3" t="s">
        <v>15</v>
      </c>
      <c r="S9" s="7">
        <v>4.333333333333333</v>
      </c>
      <c r="T9" s="7">
        <v>5.2857142857142856</v>
      </c>
      <c r="U9" s="7">
        <v>5</v>
      </c>
      <c r="W9" s="3" t="s">
        <v>249</v>
      </c>
      <c r="X9" s="11">
        <v>1</v>
      </c>
      <c r="Y9" s="11"/>
      <c r="AA9" s="3" t="s">
        <v>16</v>
      </c>
      <c r="AB9" s="8"/>
      <c r="AC9" s="8">
        <v>2</v>
      </c>
    </row>
    <row r="10" spans="1:29" x14ac:dyDescent="0.3">
      <c r="A10" t="str">
        <f>A5</f>
        <v>Exited</v>
      </c>
      <c r="B10">
        <f>GETPIVOTDATA("Employee ID",$A$3,"Status",A10)</f>
        <v>9</v>
      </c>
      <c r="C10" s="4">
        <f>B10/B11</f>
        <v>0.09</v>
      </c>
      <c r="E10" s="3" t="s">
        <v>144</v>
      </c>
      <c r="F10" s="5">
        <v>1400000</v>
      </c>
      <c r="H10" s="3" t="s">
        <v>250</v>
      </c>
      <c r="I10" s="10"/>
      <c r="J10" s="10">
        <v>1</v>
      </c>
      <c r="K10" s="10">
        <v>1</v>
      </c>
      <c r="O10" s="3" t="s">
        <v>37</v>
      </c>
      <c r="P10" s="10">
        <v>11</v>
      </c>
      <c r="R10" s="3" t="s">
        <v>30</v>
      </c>
      <c r="S10" s="7">
        <v>5.8571428571428568</v>
      </c>
      <c r="T10" s="7">
        <v>9.6666666666666661</v>
      </c>
      <c r="U10" s="7">
        <v>7</v>
      </c>
      <c r="W10" s="3" t="s">
        <v>250</v>
      </c>
      <c r="X10" s="11"/>
      <c r="Y10" s="11"/>
      <c r="AA10" s="3" t="s">
        <v>52</v>
      </c>
      <c r="AB10" s="8">
        <v>2</v>
      </c>
      <c r="AC10" s="8"/>
    </row>
    <row r="11" spans="1:29" x14ac:dyDescent="0.3">
      <c r="A11" t="str">
        <f>A6</f>
        <v>Grand Total</v>
      </c>
      <c r="B11">
        <f>SUM(B9:B10)</f>
        <v>100</v>
      </c>
      <c r="E11" s="3" t="s">
        <v>230</v>
      </c>
      <c r="F11" s="5">
        <v>1350000</v>
      </c>
      <c r="O11" s="3" t="s">
        <v>242</v>
      </c>
      <c r="P11" s="10">
        <v>91</v>
      </c>
      <c r="R11" s="3" t="s">
        <v>22</v>
      </c>
      <c r="S11" s="7">
        <v>7.3</v>
      </c>
      <c r="T11" s="7">
        <v>4</v>
      </c>
      <c r="U11" s="7">
        <v>7</v>
      </c>
      <c r="AA11" s="3" t="s">
        <v>37</v>
      </c>
      <c r="AB11" s="8"/>
      <c r="AC11" s="8"/>
    </row>
    <row r="12" spans="1:29" x14ac:dyDescent="0.3">
      <c r="E12" s="3" t="s">
        <v>55</v>
      </c>
      <c r="F12" s="5">
        <v>1350000</v>
      </c>
      <c r="R12" s="3" t="s">
        <v>51</v>
      </c>
      <c r="S12" s="7">
        <v>4.333333333333333</v>
      </c>
      <c r="T12" s="7"/>
      <c r="U12" s="7">
        <v>4.333333333333333</v>
      </c>
    </row>
    <row r="13" spans="1:29" x14ac:dyDescent="0.3">
      <c r="E13" s="3" t="s">
        <v>88</v>
      </c>
      <c r="F13" s="5">
        <v>1320000</v>
      </c>
      <c r="H13" s="3" t="s">
        <v>3</v>
      </c>
      <c r="I13" t="s">
        <v>253</v>
      </c>
      <c r="J13" t="s">
        <v>14</v>
      </c>
      <c r="K13" t="s">
        <v>254</v>
      </c>
      <c r="L13" t="s">
        <v>21</v>
      </c>
      <c r="M13" t="s">
        <v>255</v>
      </c>
      <c r="R13" s="3" t="s">
        <v>36</v>
      </c>
      <c r="S13" s="7">
        <v>9.3333333333333339</v>
      </c>
      <c r="T13" s="7">
        <v>9.75</v>
      </c>
      <c r="U13" s="7">
        <v>9.6363636363636367</v>
      </c>
    </row>
    <row r="14" spans="1:29" x14ac:dyDescent="0.3">
      <c r="E14" s="3" t="s">
        <v>190</v>
      </c>
      <c r="F14" s="5">
        <v>1300000</v>
      </c>
      <c r="H14" t="str">
        <f>H6</f>
        <v>26-30</v>
      </c>
      <c r="I14">
        <f>MAX($J$14:$L$18)-J14</f>
        <v>2</v>
      </c>
      <c r="J14">
        <f>GETPIVOTDATA("Employee ID",$H$4,"Gender","Male","Age Group",H14)</f>
        <v>15</v>
      </c>
      <c r="K14">
        <v>9</v>
      </c>
      <c r="L14">
        <f>GETPIVOTDATA("Employee ID",$H$4,"Gender","Female","Age Group",H14)</f>
        <v>17</v>
      </c>
      <c r="M14">
        <f>MAX($J$14:$L$18)-L14</f>
        <v>0</v>
      </c>
      <c r="R14" s="3" t="s">
        <v>27</v>
      </c>
      <c r="S14" s="7">
        <v>4</v>
      </c>
      <c r="T14" s="7">
        <v>6.25</v>
      </c>
      <c r="U14" s="7">
        <v>5.8</v>
      </c>
    </row>
    <row r="15" spans="1:29" x14ac:dyDescent="0.3">
      <c r="E15" s="3" t="s">
        <v>242</v>
      </c>
      <c r="F15" s="5">
        <v>14290000</v>
      </c>
      <c r="H15" t="str">
        <f>H7</f>
        <v>31-35</v>
      </c>
      <c r="I15">
        <f>MAX($J$14:$L$18)-J15</f>
        <v>7</v>
      </c>
      <c r="J15">
        <f>GETPIVOTDATA("Employee ID",$H$4,"Gender","Male","Age Group",H15)</f>
        <v>10</v>
      </c>
      <c r="K15">
        <v>9</v>
      </c>
      <c r="L15">
        <f>GETPIVOTDATA("Employee ID",$H$4,"Gender","Female","Age Group",H15)</f>
        <v>15</v>
      </c>
      <c r="M15">
        <f>MAX($J$14:$L$18)-L15</f>
        <v>2</v>
      </c>
      <c r="R15" s="3" t="s">
        <v>265</v>
      </c>
      <c r="S15" s="7">
        <v>5</v>
      </c>
      <c r="T15" s="7">
        <v>7.4285714285714288</v>
      </c>
      <c r="U15" s="7">
        <v>6.8888888888888893</v>
      </c>
    </row>
    <row r="16" spans="1:29" x14ac:dyDescent="0.3">
      <c r="H16" t="str">
        <f>H8</f>
        <v>36-40</v>
      </c>
      <c r="I16">
        <f>MAX($J$14:$L$18)-J16</f>
        <v>6</v>
      </c>
      <c r="J16">
        <f>GETPIVOTDATA("Employee ID",$H$4,"Gender","Male","Age Group",H16)</f>
        <v>11</v>
      </c>
      <c r="K16">
        <v>9</v>
      </c>
      <c r="L16">
        <f>GETPIVOTDATA("Employee ID",$H$4,"Gender","Female","Age Group",H16)</f>
        <v>9</v>
      </c>
      <c r="M16">
        <f>MAX($J$14:$L$18)-L16</f>
        <v>8</v>
      </c>
    </row>
    <row r="17" spans="8:13" x14ac:dyDescent="0.3">
      <c r="H17" t="str">
        <f>H9</f>
        <v>41-45</v>
      </c>
      <c r="I17">
        <f>MAX($J$14:$L$18)-J17</f>
        <v>8</v>
      </c>
      <c r="J17">
        <f>GETPIVOTDATA("Employee ID",$H$4,"Gender","Male","Age Group",H17)</f>
        <v>9</v>
      </c>
      <c r="K17">
        <v>9</v>
      </c>
      <c r="L17">
        <f>GETPIVOTDATA("Employee ID",$H$4,"Gender","Female","Age Group",H17)</f>
        <v>4</v>
      </c>
      <c r="M17">
        <f>MAX($J$14:$L$18)-L17</f>
        <v>13</v>
      </c>
    </row>
    <row r="18" spans="8:13" x14ac:dyDescent="0.3">
      <c r="H18" t="str">
        <f>H10</f>
        <v>46-50</v>
      </c>
      <c r="I18">
        <f>MAX($J$14:$L$18)-J18</f>
        <v>16</v>
      </c>
      <c r="J18">
        <f>GETPIVOTDATA("Employee ID",$H$4,"Gender","Male","Age Group",H18)</f>
        <v>1</v>
      </c>
      <c r="K18">
        <v>9</v>
      </c>
      <c r="L18">
        <f>GETPIVOTDATA("Employee ID",$H$4,"Gender","Female","Age Group",H18)</f>
        <v>0</v>
      </c>
      <c r="M18">
        <f>MAX($J$14:$L$18)-L18</f>
        <v>17</v>
      </c>
    </row>
    <row r="19" spans="8:13" x14ac:dyDescent="0.3">
      <c r="J19">
        <f>SUM(Table2[Male])</f>
        <v>46</v>
      </c>
      <c r="L19">
        <f>SUM(Table2[Female])</f>
        <v>45</v>
      </c>
    </row>
  </sheetData>
  <pageMargins left="0.7" right="0.7" top="0.75" bottom="0.75" header="0.3" footer="0.3"/>
  <tableParts count="1">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67C0B-091E-4C23-9394-34743A928180}">
  <dimension ref="V26"/>
  <sheetViews>
    <sheetView showGridLines="0" tabSelected="1" zoomScale="70" zoomScaleNormal="70" workbookViewId="0">
      <selection activeCell="AE30" sqref="AE30"/>
    </sheetView>
  </sheetViews>
  <sheetFormatPr defaultRowHeight="14.4" x14ac:dyDescent="0.3"/>
  <sheetData>
    <row r="26" spans="22:22" x14ac:dyDescent="0.3">
      <c r="V26" t="s">
        <v>266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FAF35-1BAA-4176-8FD2-7378C25C41E7}">
  <dimension ref="A1:N101"/>
  <sheetViews>
    <sheetView showGridLines="0" workbookViewId="0">
      <pane ySplit="1" topLeftCell="A2" activePane="bottomLeft" state="frozen"/>
      <selection pane="bottomLeft" activeCell="J112" sqref="J112"/>
    </sheetView>
  </sheetViews>
  <sheetFormatPr defaultRowHeight="14.4" x14ac:dyDescent="0.3"/>
  <cols>
    <col min="1" max="1" width="13.109375" customWidth="1"/>
    <col min="2" max="2" width="15.21875" bestFit="1" customWidth="1"/>
    <col min="5" max="5" width="24.88671875" bestFit="1" customWidth="1"/>
    <col min="6" max="6" width="12.6640625" customWidth="1"/>
    <col min="7" max="7" width="18.88671875" bestFit="1" customWidth="1"/>
    <col min="8" max="8" width="10.5546875" customWidth="1"/>
    <col min="9" max="9" width="10.33203125" bestFit="1" customWidth="1"/>
    <col min="10" max="10" width="13.77734375" customWidth="1"/>
  </cols>
  <sheetData>
    <row r="1" spans="1:14" x14ac:dyDescent="0.3">
      <c r="A1" t="s">
        <v>0</v>
      </c>
      <c r="B1" t="s">
        <v>1</v>
      </c>
      <c r="C1" t="s">
        <v>2</v>
      </c>
      <c r="D1" t="s">
        <v>3</v>
      </c>
      <c r="E1" t="s">
        <v>4</v>
      </c>
      <c r="F1" t="s">
        <v>5</v>
      </c>
      <c r="G1" t="s">
        <v>6</v>
      </c>
      <c r="H1" t="s">
        <v>7</v>
      </c>
      <c r="I1" t="s">
        <v>8</v>
      </c>
      <c r="J1" t="s">
        <v>9</v>
      </c>
      <c r="K1" t="s">
        <v>10</v>
      </c>
      <c r="L1" t="s">
        <v>11</v>
      </c>
      <c r="M1" t="s">
        <v>239</v>
      </c>
      <c r="N1" t="s">
        <v>240</v>
      </c>
    </row>
    <row r="2" spans="1:14" x14ac:dyDescent="0.3">
      <c r="A2" t="s">
        <v>12</v>
      </c>
      <c r="B2" t="s">
        <v>13</v>
      </c>
      <c r="C2" t="s">
        <v>14</v>
      </c>
      <c r="D2">
        <v>29</v>
      </c>
      <c r="E2" t="s">
        <v>15</v>
      </c>
      <c r="F2" t="s">
        <v>16</v>
      </c>
      <c r="G2" t="s">
        <v>17</v>
      </c>
      <c r="H2" s="1">
        <v>44361</v>
      </c>
      <c r="J2">
        <v>850000</v>
      </c>
      <c r="K2">
        <v>0.1</v>
      </c>
      <c r="L2" t="s">
        <v>18</v>
      </c>
      <c r="M2">
        <f ca="1">IF(ISBLANK(Table1[[#This Row],[Exit Date]]), DATEDIF(Table1[[#This Row],[Hire Date]], TODAY(), "Y"), DATEDIF(Table1[[#This Row],[Hire Date]], Table1[[#This Row],[Exit Date]], "Y"))</f>
        <v>5</v>
      </c>
      <c r="N2"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26-30</v>
      </c>
    </row>
    <row r="3" spans="1:14" x14ac:dyDescent="0.3">
      <c r="A3" t="s">
        <v>19</v>
      </c>
      <c r="B3" t="s">
        <v>20</v>
      </c>
      <c r="C3" t="s">
        <v>21</v>
      </c>
      <c r="D3">
        <v>32</v>
      </c>
      <c r="E3" t="s">
        <v>22</v>
      </c>
      <c r="F3" t="s">
        <v>23</v>
      </c>
      <c r="G3" t="s">
        <v>24</v>
      </c>
      <c r="H3" s="1">
        <v>43549</v>
      </c>
      <c r="J3">
        <v>950000</v>
      </c>
      <c r="K3">
        <v>0.15</v>
      </c>
      <c r="L3" t="s">
        <v>18</v>
      </c>
      <c r="M3">
        <f ca="1">IF(ISBLANK(Table1[[#This Row],[Exit Date]]), DATEDIF(Table1[[#This Row],[Hire Date]], TODAY(), "Y"), DATEDIF(Table1[[#This Row],[Hire Date]], Table1[[#This Row],[Exit Date]], "Y"))</f>
        <v>7</v>
      </c>
      <c r="N3"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31-35</v>
      </c>
    </row>
    <row r="4" spans="1:14" x14ac:dyDescent="0.3">
      <c r="A4" t="s">
        <v>25</v>
      </c>
      <c r="B4" t="s">
        <v>26</v>
      </c>
      <c r="C4" t="s">
        <v>14</v>
      </c>
      <c r="D4">
        <v>27</v>
      </c>
      <c r="E4" t="s">
        <v>27</v>
      </c>
      <c r="F4" t="s">
        <v>16</v>
      </c>
      <c r="G4" t="s">
        <v>17</v>
      </c>
      <c r="H4" s="1">
        <v>44571</v>
      </c>
      <c r="J4">
        <v>720000</v>
      </c>
      <c r="K4">
        <v>0</v>
      </c>
      <c r="L4" t="s">
        <v>18</v>
      </c>
      <c r="M4">
        <f ca="1">IF(ISBLANK(Table1[[#This Row],[Exit Date]]), DATEDIF(Table1[[#This Row],[Hire Date]], TODAY(), "Y"), DATEDIF(Table1[[#This Row],[Hire Date]], Table1[[#This Row],[Exit Date]], "Y"))</f>
        <v>4</v>
      </c>
      <c r="N4"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26-30</v>
      </c>
    </row>
    <row r="5" spans="1:14" x14ac:dyDescent="0.3">
      <c r="A5" t="s">
        <v>28</v>
      </c>
      <c r="B5" t="s">
        <v>29</v>
      </c>
      <c r="C5" t="s">
        <v>21</v>
      </c>
      <c r="D5">
        <v>35</v>
      </c>
      <c r="E5" t="s">
        <v>30</v>
      </c>
      <c r="F5" t="s">
        <v>31</v>
      </c>
      <c r="G5" t="s">
        <v>32</v>
      </c>
      <c r="H5" s="1">
        <v>43409</v>
      </c>
      <c r="I5" s="1">
        <v>45899</v>
      </c>
      <c r="J5">
        <v>880000</v>
      </c>
      <c r="K5">
        <v>0.2</v>
      </c>
      <c r="L5" t="s">
        <v>33</v>
      </c>
      <c r="M5">
        <f ca="1">IF(ISBLANK(Table1[[#This Row],[Exit Date]]), DATEDIF(Table1[[#This Row],[Hire Date]], TODAY(), "Y"), DATEDIF(Table1[[#This Row],[Hire Date]], Table1[[#This Row],[Exit Date]], "Y"))</f>
        <v>6</v>
      </c>
      <c r="N5"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31-35</v>
      </c>
    </row>
    <row r="6" spans="1:14" x14ac:dyDescent="0.3">
      <c r="A6" t="s">
        <v>34</v>
      </c>
      <c r="B6" t="s">
        <v>35</v>
      </c>
      <c r="C6" t="s">
        <v>14</v>
      </c>
      <c r="D6">
        <v>41</v>
      </c>
      <c r="E6" t="s">
        <v>36</v>
      </c>
      <c r="F6" t="s">
        <v>37</v>
      </c>
      <c r="G6" t="s">
        <v>38</v>
      </c>
      <c r="H6" s="1">
        <v>42569</v>
      </c>
      <c r="J6">
        <v>1250000</v>
      </c>
      <c r="K6">
        <v>0.1</v>
      </c>
      <c r="L6" t="s">
        <v>18</v>
      </c>
      <c r="M6">
        <f ca="1">IF(ISBLANK(Table1[[#This Row],[Exit Date]]), DATEDIF(Table1[[#This Row],[Hire Date]], TODAY(), "Y"), DATEDIF(Table1[[#This Row],[Hire Date]], Table1[[#This Row],[Exit Date]], "Y"))</f>
        <v>10</v>
      </c>
      <c r="N6"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41-45</v>
      </c>
    </row>
    <row r="7" spans="1:14" x14ac:dyDescent="0.3">
      <c r="A7" t="s">
        <v>39</v>
      </c>
      <c r="B7" t="s">
        <v>40</v>
      </c>
      <c r="C7" t="s">
        <v>21</v>
      </c>
      <c r="D7">
        <v>26</v>
      </c>
      <c r="E7" t="s">
        <v>41</v>
      </c>
      <c r="F7" t="s">
        <v>42</v>
      </c>
      <c r="G7" t="s">
        <v>38</v>
      </c>
      <c r="H7" s="1">
        <v>44970</v>
      </c>
      <c r="J7">
        <v>650000</v>
      </c>
      <c r="K7">
        <v>0.15</v>
      </c>
      <c r="L7" t="s">
        <v>18</v>
      </c>
      <c r="M7">
        <f ca="1">IF(ISBLANK(Table1[[#This Row],[Exit Date]]), DATEDIF(Table1[[#This Row],[Hire Date]], TODAY(), "Y"), DATEDIF(Table1[[#This Row],[Hire Date]], Table1[[#This Row],[Exit Date]], "Y"))</f>
        <v>3</v>
      </c>
      <c r="N7"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26-30</v>
      </c>
    </row>
    <row r="8" spans="1:14" x14ac:dyDescent="0.3">
      <c r="A8" t="s">
        <v>43</v>
      </c>
      <c r="B8" t="s">
        <v>44</v>
      </c>
      <c r="C8" t="s">
        <v>14</v>
      </c>
      <c r="D8">
        <v>38</v>
      </c>
      <c r="E8" t="s">
        <v>80</v>
      </c>
      <c r="F8" t="s">
        <v>16</v>
      </c>
      <c r="G8" t="s">
        <v>17</v>
      </c>
      <c r="H8" s="1">
        <v>42989</v>
      </c>
      <c r="J8">
        <v>980000</v>
      </c>
      <c r="K8">
        <v>0.2</v>
      </c>
      <c r="L8" t="s">
        <v>18</v>
      </c>
      <c r="M8">
        <f ca="1">IF(ISBLANK(Table1[[#This Row],[Exit Date]]), DATEDIF(Table1[[#This Row],[Hire Date]], TODAY(), "Y"), DATEDIF(Table1[[#This Row],[Hire Date]], Table1[[#This Row],[Exit Date]], "Y"))</f>
        <v>8</v>
      </c>
      <c r="N8"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36-40</v>
      </c>
    </row>
    <row r="9" spans="1:14" x14ac:dyDescent="0.3">
      <c r="A9" t="s">
        <v>45</v>
      </c>
      <c r="B9" t="s">
        <v>46</v>
      </c>
      <c r="C9" t="s">
        <v>21</v>
      </c>
      <c r="D9">
        <v>30</v>
      </c>
      <c r="E9" t="s">
        <v>51</v>
      </c>
      <c r="F9" t="s">
        <v>52</v>
      </c>
      <c r="G9" t="s">
        <v>24</v>
      </c>
      <c r="H9" s="1">
        <v>43955</v>
      </c>
      <c r="I9" s="1">
        <v>46042</v>
      </c>
      <c r="J9">
        <v>700000</v>
      </c>
      <c r="K9">
        <v>0</v>
      </c>
      <c r="L9" t="s">
        <v>33</v>
      </c>
      <c r="M9">
        <f ca="1">IF(ISBLANK(Table1[[#This Row],[Exit Date]]), DATEDIF(Table1[[#This Row],[Hire Date]], TODAY(), "Y"), DATEDIF(Table1[[#This Row],[Hire Date]], Table1[[#This Row],[Exit Date]], "Y"))</f>
        <v>5</v>
      </c>
      <c r="N9"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26-30</v>
      </c>
    </row>
    <row r="10" spans="1:14" x14ac:dyDescent="0.3">
      <c r="A10" t="s">
        <v>47</v>
      </c>
      <c r="B10" t="s">
        <v>48</v>
      </c>
      <c r="C10" t="s">
        <v>14</v>
      </c>
      <c r="D10">
        <v>33</v>
      </c>
      <c r="E10" t="s">
        <v>265</v>
      </c>
      <c r="F10" t="s">
        <v>16</v>
      </c>
      <c r="G10" t="s">
        <v>17</v>
      </c>
      <c r="H10" s="1">
        <v>43801</v>
      </c>
      <c r="J10">
        <v>1100000</v>
      </c>
      <c r="K10">
        <v>0.1</v>
      </c>
      <c r="L10" t="s">
        <v>18</v>
      </c>
      <c r="M10">
        <f ca="1">IF(ISBLANK(Table1[[#This Row],[Exit Date]]), DATEDIF(Table1[[#This Row],[Hire Date]], TODAY(), "Y"), DATEDIF(Table1[[#This Row],[Hire Date]], Table1[[#This Row],[Exit Date]], "Y"))</f>
        <v>6</v>
      </c>
      <c r="N10"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31-35</v>
      </c>
    </row>
    <row r="11" spans="1:14" x14ac:dyDescent="0.3">
      <c r="A11" t="s">
        <v>49</v>
      </c>
      <c r="B11" t="s">
        <v>50</v>
      </c>
      <c r="C11" t="s">
        <v>21</v>
      </c>
      <c r="D11">
        <v>28</v>
      </c>
      <c r="E11" t="s">
        <v>59</v>
      </c>
      <c r="F11" t="s">
        <v>42</v>
      </c>
      <c r="G11" t="s">
        <v>53</v>
      </c>
      <c r="H11" s="1">
        <v>44795</v>
      </c>
      <c r="J11">
        <v>600000</v>
      </c>
      <c r="K11">
        <v>0.15</v>
      </c>
      <c r="L11" t="s">
        <v>18</v>
      </c>
      <c r="M11">
        <f ca="1">IF(ISBLANK(Table1[[#This Row],[Exit Date]]), DATEDIF(Table1[[#This Row],[Hire Date]], TODAY(), "Y"), DATEDIF(Table1[[#This Row],[Hire Date]], Table1[[#This Row],[Exit Date]], "Y"))</f>
        <v>3</v>
      </c>
      <c r="N11"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26-30</v>
      </c>
    </row>
    <row r="12" spans="1:14" x14ac:dyDescent="0.3">
      <c r="A12" t="s">
        <v>54</v>
      </c>
      <c r="B12" t="s">
        <v>55</v>
      </c>
      <c r="C12" t="s">
        <v>14</v>
      </c>
      <c r="D12">
        <v>45</v>
      </c>
      <c r="E12" t="s">
        <v>36</v>
      </c>
      <c r="F12" t="s">
        <v>37</v>
      </c>
      <c r="G12" t="s">
        <v>56</v>
      </c>
      <c r="H12" s="1">
        <v>42121</v>
      </c>
      <c r="J12">
        <v>1350000</v>
      </c>
      <c r="K12">
        <v>0.2</v>
      </c>
      <c r="L12" t="s">
        <v>18</v>
      </c>
      <c r="M12">
        <f ca="1">IF(ISBLANK(Table1[[#This Row],[Exit Date]]), DATEDIF(Table1[[#This Row],[Hire Date]], TODAY(), "Y"), DATEDIF(Table1[[#This Row],[Hire Date]], Table1[[#This Row],[Exit Date]], "Y"))</f>
        <v>11</v>
      </c>
      <c r="N12"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41-45</v>
      </c>
    </row>
    <row r="13" spans="1:14" x14ac:dyDescent="0.3">
      <c r="A13" t="s">
        <v>57</v>
      </c>
      <c r="B13" t="s">
        <v>58</v>
      </c>
      <c r="C13" t="s">
        <v>21</v>
      </c>
      <c r="D13">
        <v>31</v>
      </c>
      <c r="E13" t="s">
        <v>15</v>
      </c>
      <c r="F13" t="s">
        <v>16</v>
      </c>
      <c r="G13" t="s">
        <v>32</v>
      </c>
      <c r="H13" s="1">
        <v>44487</v>
      </c>
      <c r="J13">
        <v>780000</v>
      </c>
      <c r="K13">
        <v>0.1</v>
      </c>
      <c r="L13" t="s">
        <v>18</v>
      </c>
      <c r="M13">
        <f ca="1">IF(ISBLANK(Table1[[#This Row],[Exit Date]]), DATEDIF(Table1[[#This Row],[Hire Date]], TODAY(), "Y"), DATEDIF(Table1[[#This Row],[Hire Date]], Table1[[#This Row],[Exit Date]], "Y"))</f>
        <v>4</v>
      </c>
      <c r="N13"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31-35</v>
      </c>
    </row>
    <row r="14" spans="1:14" x14ac:dyDescent="0.3">
      <c r="A14" t="s">
        <v>60</v>
      </c>
      <c r="B14" t="s">
        <v>61</v>
      </c>
      <c r="C14" t="s">
        <v>14</v>
      </c>
      <c r="D14">
        <v>36</v>
      </c>
      <c r="E14" t="s">
        <v>27</v>
      </c>
      <c r="F14" t="s">
        <v>16</v>
      </c>
      <c r="G14" t="s">
        <v>53</v>
      </c>
      <c r="H14" s="1">
        <v>43276</v>
      </c>
      <c r="J14">
        <v>1020000</v>
      </c>
      <c r="K14">
        <v>0</v>
      </c>
      <c r="L14" t="s">
        <v>18</v>
      </c>
      <c r="M14">
        <f ca="1">IF(ISBLANK(Table1[[#This Row],[Exit Date]]), DATEDIF(Table1[[#This Row],[Hire Date]], TODAY(), "Y"), DATEDIF(Table1[[#This Row],[Hire Date]], Table1[[#This Row],[Exit Date]], "Y"))</f>
        <v>8</v>
      </c>
      <c r="N14"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36-40</v>
      </c>
    </row>
    <row r="15" spans="1:14" x14ac:dyDescent="0.3">
      <c r="A15" t="s">
        <v>62</v>
      </c>
      <c r="B15" t="s">
        <v>63</v>
      </c>
      <c r="C15" t="s">
        <v>21</v>
      </c>
      <c r="D15">
        <v>39</v>
      </c>
      <c r="E15" t="s">
        <v>22</v>
      </c>
      <c r="F15" t="s">
        <v>23</v>
      </c>
      <c r="G15" t="s">
        <v>56</v>
      </c>
      <c r="H15" s="1">
        <v>42772</v>
      </c>
      <c r="I15" s="1">
        <v>45641</v>
      </c>
      <c r="J15">
        <v>820000</v>
      </c>
      <c r="K15">
        <v>0.15</v>
      </c>
      <c r="L15" t="s">
        <v>33</v>
      </c>
      <c r="M15">
        <f ca="1">IF(ISBLANK(Table1[[#This Row],[Exit Date]]), DATEDIF(Table1[[#This Row],[Hire Date]], TODAY(), "Y"), DATEDIF(Table1[[#This Row],[Hire Date]], Table1[[#This Row],[Exit Date]], "Y"))</f>
        <v>7</v>
      </c>
      <c r="N15"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36-40</v>
      </c>
    </row>
    <row r="16" spans="1:14" x14ac:dyDescent="0.3">
      <c r="A16" t="s">
        <v>64</v>
      </c>
      <c r="B16" t="s">
        <v>65</v>
      </c>
      <c r="C16" t="s">
        <v>14</v>
      </c>
      <c r="D16">
        <v>28</v>
      </c>
      <c r="E16" t="s">
        <v>80</v>
      </c>
      <c r="F16" t="s">
        <v>16</v>
      </c>
      <c r="G16" t="s">
        <v>17</v>
      </c>
      <c r="H16" s="1">
        <v>45299</v>
      </c>
      <c r="J16">
        <v>480000</v>
      </c>
      <c r="K16">
        <v>0.2</v>
      </c>
      <c r="L16" t="s">
        <v>18</v>
      </c>
      <c r="M16">
        <f ca="1">IF(ISBLANK(Table1[[#This Row],[Exit Date]]), DATEDIF(Table1[[#This Row],[Hire Date]], TODAY(), "Y"), DATEDIF(Table1[[#This Row],[Hire Date]], Table1[[#This Row],[Exit Date]], "Y"))</f>
        <v>2</v>
      </c>
      <c r="N16"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26-30</v>
      </c>
    </row>
    <row r="17" spans="1:14" x14ac:dyDescent="0.3">
      <c r="A17" t="s">
        <v>66</v>
      </c>
      <c r="B17" t="s">
        <v>67</v>
      </c>
      <c r="C17" t="s">
        <v>21</v>
      </c>
      <c r="D17">
        <v>34</v>
      </c>
      <c r="E17" t="s">
        <v>41</v>
      </c>
      <c r="F17" t="s">
        <v>42</v>
      </c>
      <c r="G17" t="s">
        <v>56</v>
      </c>
      <c r="H17" s="1">
        <v>44088</v>
      </c>
      <c r="J17">
        <v>760000</v>
      </c>
      <c r="K17">
        <v>0.1</v>
      </c>
      <c r="L17" t="s">
        <v>18</v>
      </c>
      <c r="M17">
        <f ca="1">IF(ISBLANK(Table1[[#This Row],[Exit Date]]), DATEDIF(Table1[[#This Row],[Hire Date]], TODAY(), "Y"), DATEDIF(Table1[[#This Row],[Hire Date]], Table1[[#This Row],[Exit Date]], "Y"))</f>
        <v>5</v>
      </c>
      <c r="N17"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31-35</v>
      </c>
    </row>
    <row r="18" spans="1:14" x14ac:dyDescent="0.3">
      <c r="A18" t="s">
        <v>68</v>
      </c>
      <c r="B18" t="s">
        <v>69</v>
      </c>
      <c r="C18" t="s">
        <v>14</v>
      </c>
      <c r="D18">
        <v>43</v>
      </c>
      <c r="E18" t="s">
        <v>30</v>
      </c>
      <c r="F18" t="s">
        <v>31</v>
      </c>
      <c r="G18" t="s">
        <v>38</v>
      </c>
      <c r="H18" s="1">
        <v>41932</v>
      </c>
      <c r="J18">
        <v>1450000</v>
      </c>
      <c r="K18">
        <v>0.15</v>
      </c>
      <c r="L18" t="s">
        <v>18</v>
      </c>
      <c r="M18">
        <f ca="1">IF(ISBLANK(Table1[[#This Row],[Exit Date]]), DATEDIF(Table1[[#This Row],[Hire Date]], TODAY(), "Y"), DATEDIF(Table1[[#This Row],[Hire Date]], Table1[[#This Row],[Exit Date]], "Y"))</f>
        <v>11</v>
      </c>
      <c r="N18"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41-45</v>
      </c>
    </row>
    <row r="19" spans="1:14" x14ac:dyDescent="0.3">
      <c r="A19" t="s">
        <v>70</v>
      </c>
      <c r="B19" t="s">
        <v>71</v>
      </c>
      <c r="C19" t="s">
        <v>21</v>
      </c>
      <c r="D19">
        <v>29</v>
      </c>
      <c r="E19" t="s">
        <v>59</v>
      </c>
      <c r="F19" t="s">
        <v>42</v>
      </c>
      <c r="G19" t="s">
        <v>72</v>
      </c>
      <c r="H19" s="1">
        <v>44662</v>
      </c>
      <c r="J19">
        <v>900000</v>
      </c>
      <c r="K19">
        <v>0</v>
      </c>
      <c r="L19" t="s">
        <v>18</v>
      </c>
      <c r="M19">
        <f ca="1">IF(ISBLANK(Table1[[#This Row],[Exit Date]]), DATEDIF(Table1[[#This Row],[Hire Date]], TODAY(), "Y"), DATEDIF(Table1[[#This Row],[Hire Date]], Table1[[#This Row],[Exit Date]], "Y"))</f>
        <v>4</v>
      </c>
      <c r="N19"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26-30</v>
      </c>
    </row>
    <row r="20" spans="1:14" x14ac:dyDescent="0.3">
      <c r="A20" t="s">
        <v>73</v>
      </c>
      <c r="B20" t="s">
        <v>74</v>
      </c>
      <c r="C20" t="s">
        <v>14</v>
      </c>
      <c r="D20">
        <v>37</v>
      </c>
      <c r="E20" t="s">
        <v>265</v>
      </c>
      <c r="F20" t="s">
        <v>16</v>
      </c>
      <c r="G20" t="s">
        <v>17</v>
      </c>
      <c r="H20" s="1">
        <v>43129</v>
      </c>
      <c r="I20" s="1">
        <v>45971</v>
      </c>
      <c r="J20">
        <v>890000</v>
      </c>
      <c r="K20">
        <v>0.2</v>
      </c>
      <c r="L20" t="s">
        <v>33</v>
      </c>
      <c r="M20">
        <f ca="1">IF(ISBLANK(Table1[[#This Row],[Exit Date]]), DATEDIF(Table1[[#This Row],[Hire Date]], TODAY(), "Y"), DATEDIF(Table1[[#This Row],[Hire Date]], Table1[[#This Row],[Exit Date]], "Y"))</f>
        <v>7</v>
      </c>
      <c r="N20"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36-40</v>
      </c>
    </row>
    <row r="21" spans="1:14" x14ac:dyDescent="0.3">
      <c r="A21" t="s">
        <v>75</v>
      </c>
      <c r="B21" t="s">
        <v>76</v>
      </c>
      <c r="C21" t="s">
        <v>21</v>
      </c>
      <c r="D21">
        <v>27</v>
      </c>
      <c r="E21" t="s">
        <v>51</v>
      </c>
      <c r="F21" t="s">
        <v>52</v>
      </c>
      <c r="G21" t="s">
        <v>77</v>
      </c>
      <c r="H21" s="1">
        <v>45096</v>
      </c>
      <c r="J21">
        <v>520000</v>
      </c>
      <c r="K21">
        <v>0.1</v>
      </c>
      <c r="L21" t="s">
        <v>18</v>
      </c>
      <c r="M21">
        <f ca="1">IF(ISBLANK(Table1[[#This Row],[Exit Date]]), DATEDIF(Table1[[#This Row],[Hire Date]], TODAY(), "Y"), DATEDIF(Table1[[#This Row],[Hire Date]], Table1[[#This Row],[Exit Date]], "Y"))</f>
        <v>3</v>
      </c>
      <c r="N21"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26-30</v>
      </c>
    </row>
    <row r="22" spans="1:14" x14ac:dyDescent="0.3">
      <c r="A22" t="s">
        <v>78</v>
      </c>
      <c r="B22" t="s">
        <v>79</v>
      </c>
      <c r="C22" t="s">
        <v>14</v>
      </c>
      <c r="D22">
        <v>31</v>
      </c>
      <c r="E22" t="s">
        <v>27</v>
      </c>
      <c r="F22" t="s">
        <v>16</v>
      </c>
      <c r="G22" t="s">
        <v>17</v>
      </c>
      <c r="H22" s="1">
        <v>43878</v>
      </c>
      <c r="J22">
        <v>1050000</v>
      </c>
      <c r="K22">
        <v>0.15</v>
      </c>
      <c r="L22" t="s">
        <v>18</v>
      </c>
      <c r="M22">
        <f ca="1">IF(ISBLANK(Table1[[#This Row],[Exit Date]]), DATEDIF(Table1[[#This Row],[Hire Date]], TODAY(), "Y"), DATEDIF(Table1[[#This Row],[Hire Date]], Table1[[#This Row],[Exit Date]], "Y"))</f>
        <v>6</v>
      </c>
      <c r="N22"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31-35</v>
      </c>
    </row>
    <row r="23" spans="1:14" x14ac:dyDescent="0.3">
      <c r="A23" t="s">
        <v>81</v>
      </c>
      <c r="B23" t="s">
        <v>82</v>
      </c>
      <c r="C23" t="s">
        <v>21</v>
      </c>
      <c r="D23">
        <v>28</v>
      </c>
      <c r="E23" t="s">
        <v>15</v>
      </c>
      <c r="F23" t="s">
        <v>16</v>
      </c>
      <c r="G23" t="s">
        <v>72</v>
      </c>
      <c r="H23" s="1">
        <v>44746</v>
      </c>
      <c r="J23">
        <v>740000</v>
      </c>
      <c r="K23">
        <v>0.2</v>
      </c>
      <c r="L23" t="s">
        <v>18</v>
      </c>
      <c r="M23">
        <f ca="1">IF(ISBLANK(Table1[[#This Row],[Exit Date]]), DATEDIF(Table1[[#This Row],[Hire Date]], TODAY(), "Y"), DATEDIF(Table1[[#This Row],[Hire Date]], Table1[[#This Row],[Exit Date]], "Y"))</f>
        <v>4</v>
      </c>
      <c r="N23"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26-30</v>
      </c>
    </row>
    <row r="24" spans="1:14" x14ac:dyDescent="0.3">
      <c r="A24" t="s">
        <v>83</v>
      </c>
      <c r="B24" t="s">
        <v>84</v>
      </c>
      <c r="C24" t="s">
        <v>14</v>
      </c>
      <c r="D24">
        <v>40</v>
      </c>
      <c r="E24" t="s">
        <v>36</v>
      </c>
      <c r="F24" t="s">
        <v>37</v>
      </c>
      <c r="G24" t="s">
        <v>32</v>
      </c>
      <c r="H24" s="1">
        <v>42716</v>
      </c>
      <c r="J24">
        <v>1180000</v>
      </c>
      <c r="K24">
        <v>0.1</v>
      </c>
      <c r="L24" t="s">
        <v>18</v>
      </c>
      <c r="M24">
        <f ca="1">IF(ISBLANK(Table1[[#This Row],[Exit Date]]), DATEDIF(Table1[[#This Row],[Hire Date]], TODAY(), "Y"), DATEDIF(Table1[[#This Row],[Hire Date]], Table1[[#This Row],[Exit Date]], "Y"))</f>
        <v>9</v>
      </c>
      <c r="N24"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36-40</v>
      </c>
    </row>
    <row r="25" spans="1:14" x14ac:dyDescent="0.3">
      <c r="A25" t="s">
        <v>85</v>
      </c>
      <c r="B25" t="s">
        <v>86</v>
      </c>
      <c r="C25" t="s">
        <v>21</v>
      </c>
      <c r="D25">
        <v>33</v>
      </c>
      <c r="E25" t="s">
        <v>59</v>
      </c>
      <c r="F25" t="s">
        <v>42</v>
      </c>
      <c r="G25" t="s">
        <v>17</v>
      </c>
      <c r="H25" s="1">
        <v>43703</v>
      </c>
      <c r="J25">
        <v>800000</v>
      </c>
      <c r="K25">
        <v>0</v>
      </c>
      <c r="L25" t="s">
        <v>18</v>
      </c>
      <c r="M25">
        <f ca="1">IF(ISBLANK(Table1[[#This Row],[Exit Date]]), DATEDIF(Table1[[#This Row],[Hire Date]], TODAY(), "Y"), DATEDIF(Table1[[#This Row],[Hire Date]], Table1[[#This Row],[Exit Date]], "Y"))</f>
        <v>6</v>
      </c>
      <c r="N25"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31-35</v>
      </c>
    </row>
    <row r="26" spans="1:14" x14ac:dyDescent="0.3">
      <c r="A26" t="s">
        <v>87</v>
      </c>
      <c r="B26" t="s">
        <v>88</v>
      </c>
      <c r="C26" t="s">
        <v>14</v>
      </c>
      <c r="D26">
        <v>36</v>
      </c>
      <c r="E26" t="s">
        <v>80</v>
      </c>
      <c r="F26" t="s">
        <v>16</v>
      </c>
      <c r="G26" t="s">
        <v>17</v>
      </c>
      <c r="H26" s="1">
        <v>42870</v>
      </c>
      <c r="J26">
        <v>1320000</v>
      </c>
      <c r="K26">
        <v>0.15</v>
      </c>
      <c r="L26" t="s">
        <v>18</v>
      </c>
      <c r="M26">
        <f ca="1">IF(ISBLANK(Table1[[#This Row],[Exit Date]]), DATEDIF(Table1[[#This Row],[Hire Date]], TODAY(), "Y"), DATEDIF(Table1[[#This Row],[Hire Date]], Table1[[#This Row],[Exit Date]], "Y"))</f>
        <v>9</v>
      </c>
      <c r="N26"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36-40</v>
      </c>
    </row>
    <row r="27" spans="1:14" x14ac:dyDescent="0.3">
      <c r="A27" t="s">
        <v>89</v>
      </c>
      <c r="B27" t="s">
        <v>90</v>
      </c>
      <c r="C27" t="s">
        <v>21</v>
      </c>
      <c r="D27">
        <v>29</v>
      </c>
      <c r="E27" t="s">
        <v>51</v>
      </c>
      <c r="F27" t="s">
        <v>52</v>
      </c>
      <c r="G27" t="s">
        <v>53</v>
      </c>
      <c r="H27" s="1">
        <v>44263</v>
      </c>
      <c r="I27" s="1">
        <v>45948</v>
      </c>
      <c r="J27">
        <v>680000</v>
      </c>
      <c r="K27">
        <v>0.2</v>
      </c>
      <c r="L27" t="s">
        <v>33</v>
      </c>
      <c r="M27">
        <f ca="1">IF(ISBLANK(Table1[[#This Row],[Exit Date]]), DATEDIF(Table1[[#This Row],[Hire Date]], TODAY(), "Y"), DATEDIF(Table1[[#This Row],[Hire Date]], Table1[[#This Row],[Exit Date]], "Y"))</f>
        <v>4</v>
      </c>
      <c r="N27"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26-30</v>
      </c>
    </row>
    <row r="28" spans="1:14" x14ac:dyDescent="0.3">
      <c r="A28" t="s">
        <v>91</v>
      </c>
      <c r="B28" t="s">
        <v>92</v>
      </c>
      <c r="C28" t="s">
        <v>14</v>
      </c>
      <c r="D28">
        <v>34</v>
      </c>
      <c r="E28" t="s">
        <v>41</v>
      </c>
      <c r="F28" t="s">
        <v>42</v>
      </c>
      <c r="G28" t="s">
        <v>53</v>
      </c>
      <c r="H28" s="1">
        <v>44158</v>
      </c>
      <c r="J28">
        <v>650000</v>
      </c>
      <c r="K28">
        <v>0.1</v>
      </c>
      <c r="L28" t="s">
        <v>18</v>
      </c>
      <c r="M28">
        <f ca="1">IF(ISBLANK(Table1[[#This Row],[Exit Date]]), DATEDIF(Table1[[#This Row],[Hire Date]], TODAY(), "Y"), DATEDIF(Table1[[#This Row],[Hire Date]], Table1[[#This Row],[Exit Date]], "Y"))</f>
        <v>5</v>
      </c>
      <c r="N28"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31-35</v>
      </c>
    </row>
    <row r="29" spans="1:14" x14ac:dyDescent="0.3">
      <c r="A29" t="s">
        <v>93</v>
      </c>
      <c r="B29" t="s">
        <v>94</v>
      </c>
      <c r="C29" t="s">
        <v>21</v>
      </c>
      <c r="D29">
        <v>42</v>
      </c>
      <c r="E29" t="s">
        <v>22</v>
      </c>
      <c r="F29" t="s">
        <v>23</v>
      </c>
      <c r="G29" t="s">
        <v>24</v>
      </c>
      <c r="H29" s="1">
        <v>42184</v>
      </c>
      <c r="J29">
        <v>1280000</v>
      </c>
      <c r="K29">
        <v>0.15</v>
      </c>
      <c r="L29" t="s">
        <v>18</v>
      </c>
      <c r="M29">
        <f ca="1">IF(ISBLANK(Table1[[#This Row],[Exit Date]]), DATEDIF(Table1[[#This Row],[Hire Date]], TODAY(), "Y"), DATEDIF(Table1[[#This Row],[Hire Date]], Table1[[#This Row],[Exit Date]], "Y"))</f>
        <v>11</v>
      </c>
      <c r="N29"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41-45</v>
      </c>
    </row>
    <row r="30" spans="1:14" x14ac:dyDescent="0.3">
      <c r="A30" t="s">
        <v>95</v>
      </c>
      <c r="B30" t="s">
        <v>96</v>
      </c>
      <c r="C30" t="s">
        <v>14</v>
      </c>
      <c r="D30">
        <v>27</v>
      </c>
      <c r="E30" t="s">
        <v>265</v>
      </c>
      <c r="F30" t="s">
        <v>16</v>
      </c>
      <c r="G30" t="s">
        <v>17</v>
      </c>
      <c r="H30" s="1">
        <v>44942</v>
      </c>
      <c r="J30">
        <v>690000</v>
      </c>
      <c r="K30">
        <v>0</v>
      </c>
      <c r="L30" t="s">
        <v>18</v>
      </c>
      <c r="M30">
        <f ca="1">IF(ISBLANK(Table1[[#This Row],[Exit Date]]), DATEDIF(Table1[[#This Row],[Hire Date]], TODAY(), "Y"), DATEDIF(Table1[[#This Row],[Hire Date]], Table1[[#This Row],[Exit Date]], "Y"))</f>
        <v>3</v>
      </c>
      <c r="N30"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26-30</v>
      </c>
    </row>
    <row r="31" spans="1:14" x14ac:dyDescent="0.3">
      <c r="A31" t="s">
        <v>97</v>
      </c>
      <c r="B31" t="s">
        <v>98</v>
      </c>
      <c r="C31" t="s">
        <v>21</v>
      </c>
      <c r="D31">
        <v>38</v>
      </c>
      <c r="E31" t="s">
        <v>30</v>
      </c>
      <c r="F31" t="s">
        <v>31</v>
      </c>
      <c r="G31" t="s">
        <v>32</v>
      </c>
      <c r="H31" s="1">
        <v>43192</v>
      </c>
      <c r="J31">
        <v>920000</v>
      </c>
      <c r="K31">
        <v>0.2</v>
      </c>
      <c r="L31" t="s">
        <v>18</v>
      </c>
      <c r="M31">
        <f ca="1">IF(ISBLANK(Table1[[#This Row],[Exit Date]]), DATEDIF(Table1[[#This Row],[Hire Date]], TODAY(), "Y"), DATEDIF(Table1[[#This Row],[Hire Date]], Table1[[#This Row],[Exit Date]], "Y"))</f>
        <v>8</v>
      </c>
      <c r="N31"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36-40</v>
      </c>
    </row>
    <row r="32" spans="1:14" x14ac:dyDescent="0.3">
      <c r="A32" t="s">
        <v>99</v>
      </c>
      <c r="B32" t="s">
        <v>100</v>
      </c>
      <c r="C32" t="s">
        <v>14</v>
      </c>
      <c r="D32">
        <v>44</v>
      </c>
      <c r="E32" t="s">
        <v>36</v>
      </c>
      <c r="F32" t="s">
        <v>37</v>
      </c>
      <c r="G32" t="s">
        <v>38</v>
      </c>
      <c r="H32" s="1">
        <v>41890</v>
      </c>
      <c r="J32">
        <v>1500000</v>
      </c>
      <c r="K32">
        <v>0.1</v>
      </c>
      <c r="L32" t="s">
        <v>18</v>
      </c>
      <c r="M32">
        <f ca="1">IF(ISBLANK(Table1[[#This Row],[Exit Date]]), DATEDIF(Table1[[#This Row],[Hire Date]], TODAY(), "Y"), DATEDIF(Table1[[#This Row],[Hire Date]], Table1[[#This Row],[Exit Date]], "Y"))</f>
        <v>11</v>
      </c>
      <c r="N32"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41-45</v>
      </c>
    </row>
    <row r="33" spans="1:14" x14ac:dyDescent="0.3">
      <c r="A33" t="s">
        <v>101</v>
      </c>
      <c r="B33" t="s">
        <v>102</v>
      </c>
      <c r="C33" t="s">
        <v>21</v>
      </c>
      <c r="D33">
        <v>26</v>
      </c>
      <c r="E33" t="s">
        <v>59</v>
      </c>
      <c r="F33" t="s">
        <v>42</v>
      </c>
      <c r="G33" t="s">
        <v>38</v>
      </c>
      <c r="H33" s="1">
        <v>45341</v>
      </c>
      <c r="J33">
        <v>500000</v>
      </c>
      <c r="K33">
        <v>0.15</v>
      </c>
      <c r="L33" t="s">
        <v>18</v>
      </c>
      <c r="M33">
        <f ca="1">IF(ISBLANK(Table1[[#This Row],[Exit Date]]), DATEDIF(Table1[[#This Row],[Hire Date]], TODAY(), "Y"), DATEDIF(Table1[[#This Row],[Hire Date]], Table1[[#This Row],[Exit Date]], "Y"))</f>
        <v>2</v>
      </c>
      <c r="N33"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26-30</v>
      </c>
    </row>
    <row r="34" spans="1:14" x14ac:dyDescent="0.3">
      <c r="A34" t="s">
        <v>103</v>
      </c>
      <c r="B34" t="s">
        <v>104</v>
      </c>
      <c r="C34" t="s">
        <v>14</v>
      </c>
      <c r="D34">
        <v>30</v>
      </c>
      <c r="E34" t="s">
        <v>15</v>
      </c>
      <c r="F34" t="s">
        <v>16</v>
      </c>
      <c r="G34" t="s">
        <v>17</v>
      </c>
      <c r="H34" s="1">
        <v>44536</v>
      </c>
      <c r="J34">
        <v>960000</v>
      </c>
      <c r="K34">
        <v>0.2</v>
      </c>
      <c r="L34" t="s">
        <v>18</v>
      </c>
      <c r="M34">
        <f ca="1">IF(ISBLANK(Table1[[#This Row],[Exit Date]]), DATEDIF(Table1[[#This Row],[Hire Date]], TODAY(), "Y"), DATEDIF(Table1[[#This Row],[Hire Date]], Table1[[#This Row],[Exit Date]], "Y"))</f>
        <v>4</v>
      </c>
      <c r="N34"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26-30</v>
      </c>
    </row>
    <row r="35" spans="1:14" x14ac:dyDescent="0.3">
      <c r="A35" t="s">
        <v>105</v>
      </c>
      <c r="B35" t="s">
        <v>106</v>
      </c>
      <c r="C35" t="s">
        <v>21</v>
      </c>
      <c r="D35">
        <v>35</v>
      </c>
      <c r="E35" t="s">
        <v>22</v>
      </c>
      <c r="F35" t="s">
        <v>23</v>
      </c>
      <c r="G35" t="s">
        <v>24</v>
      </c>
      <c r="H35" s="1">
        <v>43486</v>
      </c>
      <c r="J35">
        <v>720000</v>
      </c>
      <c r="K35">
        <v>0</v>
      </c>
      <c r="L35" t="s">
        <v>18</v>
      </c>
      <c r="M35">
        <f ca="1">IF(ISBLANK(Table1[[#This Row],[Exit Date]]), DATEDIF(Table1[[#This Row],[Hire Date]], TODAY(), "Y"), DATEDIF(Table1[[#This Row],[Hire Date]], Table1[[#This Row],[Exit Date]], "Y"))</f>
        <v>7</v>
      </c>
      <c r="N35"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31-35</v>
      </c>
    </row>
    <row r="36" spans="1:14" x14ac:dyDescent="0.3">
      <c r="A36" t="s">
        <v>107</v>
      </c>
      <c r="B36" t="s">
        <v>108</v>
      </c>
      <c r="C36" t="s">
        <v>14</v>
      </c>
      <c r="D36">
        <v>39</v>
      </c>
      <c r="E36" t="s">
        <v>27</v>
      </c>
      <c r="F36" t="s">
        <v>16</v>
      </c>
      <c r="G36" t="s">
        <v>56</v>
      </c>
      <c r="H36" s="1">
        <v>43017</v>
      </c>
      <c r="J36">
        <v>1080000</v>
      </c>
      <c r="K36">
        <v>0.1</v>
      </c>
      <c r="L36" t="s">
        <v>18</v>
      </c>
      <c r="M36">
        <f ca="1">IF(ISBLANK(Table1[[#This Row],[Exit Date]]), DATEDIF(Table1[[#This Row],[Hire Date]], TODAY(), "Y"), DATEDIF(Table1[[#This Row],[Hire Date]], Table1[[#This Row],[Exit Date]], "Y"))</f>
        <v>8</v>
      </c>
      <c r="N36"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36-40</v>
      </c>
    </row>
    <row r="37" spans="1:14" x14ac:dyDescent="0.3">
      <c r="A37" t="s">
        <v>109</v>
      </c>
      <c r="B37" t="s">
        <v>110</v>
      </c>
      <c r="C37" t="s">
        <v>21</v>
      </c>
      <c r="D37">
        <v>31</v>
      </c>
      <c r="E37" t="s">
        <v>41</v>
      </c>
      <c r="F37" t="s">
        <v>42</v>
      </c>
      <c r="G37" t="s">
        <v>77</v>
      </c>
      <c r="H37" s="1">
        <v>43997</v>
      </c>
      <c r="J37">
        <v>830000</v>
      </c>
      <c r="K37">
        <v>0.15</v>
      </c>
      <c r="L37" t="s">
        <v>18</v>
      </c>
      <c r="M37">
        <f ca="1">IF(ISBLANK(Table1[[#This Row],[Exit Date]]), DATEDIF(Table1[[#This Row],[Hire Date]], TODAY(), "Y"), DATEDIF(Table1[[#This Row],[Hire Date]], Table1[[#This Row],[Exit Date]], "Y"))</f>
        <v>6</v>
      </c>
      <c r="N37"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31-35</v>
      </c>
    </row>
    <row r="38" spans="1:14" x14ac:dyDescent="0.3">
      <c r="A38" t="s">
        <v>111</v>
      </c>
      <c r="B38" t="s">
        <v>112</v>
      </c>
      <c r="C38" t="s">
        <v>14</v>
      </c>
      <c r="D38">
        <v>28</v>
      </c>
      <c r="E38" t="s">
        <v>80</v>
      </c>
      <c r="F38" t="s">
        <v>16</v>
      </c>
      <c r="G38" t="s">
        <v>17</v>
      </c>
      <c r="H38" s="1">
        <v>44823</v>
      </c>
      <c r="J38">
        <v>760000</v>
      </c>
      <c r="K38">
        <v>0.2</v>
      </c>
      <c r="L38" t="s">
        <v>18</v>
      </c>
      <c r="M38">
        <f ca="1">IF(ISBLANK(Table1[[#This Row],[Exit Date]]), DATEDIF(Table1[[#This Row],[Hire Date]], TODAY(), "Y"), DATEDIF(Table1[[#This Row],[Hire Date]], Table1[[#This Row],[Exit Date]], "Y"))</f>
        <v>3</v>
      </c>
      <c r="N38"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26-30</v>
      </c>
    </row>
    <row r="39" spans="1:14" x14ac:dyDescent="0.3">
      <c r="A39" t="s">
        <v>113</v>
      </c>
      <c r="B39" t="s">
        <v>114</v>
      </c>
      <c r="C39" t="s">
        <v>21</v>
      </c>
      <c r="D39">
        <v>37</v>
      </c>
      <c r="E39" t="s">
        <v>36</v>
      </c>
      <c r="F39" t="s">
        <v>37</v>
      </c>
      <c r="G39" t="s">
        <v>72</v>
      </c>
      <c r="H39" s="1">
        <v>43157</v>
      </c>
      <c r="J39">
        <v>1220000</v>
      </c>
      <c r="K39">
        <v>0.1</v>
      </c>
      <c r="L39" t="s">
        <v>18</v>
      </c>
      <c r="M39">
        <f ca="1">IF(ISBLANK(Table1[[#This Row],[Exit Date]]), DATEDIF(Table1[[#This Row],[Hire Date]], TODAY(), "Y"), DATEDIF(Table1[[#This Row],[Hire Date]], Table1[[#This Row],[Exit Date]], "Y"))</f>
        <v>8</v>
      </c>
      <c r="N39"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36-40</v>
      </c>
    </row>
    <row r="40" spans="1:14" x14ac:dyDescent="0.3">
      <c r="A40" t="s">
        <v>115</v>
      </c>
      <c r="B40" t="s">
        <v>116</v>
      </c>
      <c r="C40" t="s">
        <v>14</v>
      </c>
      <c r="D40">
        <v>32</v>
      </c>
      <c r="E40" t="s">
        <v>30</v>
      </c>
      <c r="F40" t="s">
        <v>31</v>
      </c>
      <c r="G40" t="s">
        <v>32</v>
      </c>
      <c r="H40" s="1">
        <v>44326</v>
      </c>
      <c r="I40" s="1">
        <v>46112</v>
      </c>
      <c r="J40">
        <v>620000</v>
      </c>
      <c r="K40">
        <v>0</v>
      </c>
      <c r="L40" t="s">
        <v>33</v>
      </c>
      <c r="M40">
        <f ca="1">IF(ISBLANK(Table1[[#This Row],[Exit Date]]), DATEDIF(Table1[[#This Row],[Hire Date]], TODAY(), "Y"), DATEDIF(Table1[[#This Row],[Hire Date]], Table1[[#This Row],[Exit Date]], "Y"))</f>
        <v>4</v>
      </c>
      <c r="N40"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31-35</v>
      </c>
    </row>
    <row r="41" spans="1:14" x14ac:dyDescent="0.3">
      <c r="A41" t="s">
        <v>117</v>
      </c>
      <c r="B41" t="s">
        <v>118</v>
      </c>
      <c r="C41" t="s">
        <v>21</v>
      </c>
      <c r="D41">
        <v>41</v>
      </c>
      <c r="E41" t="s">
        <v>22</v>
      </c>
      <c r="F41" t="s">
        <v>23</v>
      </c>
      <c r="G41" t="s">
        <v>24</v>
      </c>
      <c r="H41" s="1">
        <v>42443</v>
      </c>
      <c r="I41" s="1">
        <v>46234</v>
      </c>
      <c r="J41">
        <v>880000</v>
      </c>
      <c r="K41">
        <v>0.15</v>
      </c>
      <c r="L41" t="s">
        <v>18</v>
      </c>
      <c r="M41">
        <f ca="1">IF(ISBLANK(Table1[[#This Row],[Exit Date]]), DATEDIF(Table1[[#This Row],[Hire Date]], TODAY(), "Y"), DATEDIF(Table1[[#This Row],[Hire Date]], Table1[[#This Row],[Exit Date]], "Y"))</f>
        <v>10</v>
      </c>
      <c r="N41"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41-45</v>
      </c>
    </row>
    <row r="42" spans="1:14" x14ac:dyDescent="0.3">
      <c r="A42" t="s">
        <v>119</v>
      </c>
      <c r="B42" t="s">
        <v>120</v>
      </c>
      <c r="C42" t="s">
        <v>14</v>
      </c>
      <c r="D42">
        <v>26</v>
      </c>
      <c r="E42" t="s">
        <v>59</v>
      </c>
      <c r="F42" t="s">
        <v>42</v>
      </c>
      <c r="G42" t="s">
        <v>77</v>
      </c>
      <c r="H42" s="1">
        <v>45418</v>
      </c>
      <c r="J42">
        <v>450000</v>
      </c>
      <c r="K42">
        <v>0.2</v>
      </c>
      <c r="L42" t="s">
        <v>18</v>
      </c>
      <c r="M42">
        <f ca="1">IF(ISBLANK(Table1[[#This Row],[Exit Date]]), DATEDIF(Table1[[#This Row],[Hire Date]], TODAY(), "Y"), DATEDIF(Table1[[#This Row],[Hire Date]], Table1[[#This Row],[Exit Date]], "Y"))</f>
        <v>2</v>
      </c>
      <c r="N42"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26-30</v>
      </c>
    </row>
    <row r="43" spans="1:14" x14ac:dyDescent="0.3">
      <c r="A43" t="s">
        <v>121</v>
      </c>
      <c r="B43" t="s">
        <v>122</v>
      </c>
      <c r="C43" t="s">
        <v>21</v>
      </c>
      <c r="D43">
        <v>34</v>
      </c>
      <c r="E43" t="s">
        <v>15</v>
      </c>
      <c r="F43" t="s">
        <v>16</v>
      </c>
      <c r="G43" t="s">
        <v>17</v>
      </c>
      <c r="H43" s="1">
        <v>44060</v>
      </c>
      <c r="J43">
        <v>1150000</v>
      </c>
      <c r="K43">
        <v>0.1</v>
      </c>
      <c r="L43" t="s">
        <v>18</v>
      </c>
      <c r="M43">
        <f ca="1">IF(ISBLANK(Table1[[#This Row],[Exit Date]]), DATEDIF(Table1[[#This Row],[Hire Date]], TODAY(), "Y"), DATEDIF(Table1[[#This Row],[Hire Date]], Table1[[#This Row],[Exit Date]], "Y"))</f>
        <v>5</v>
      </c>
      <c r="N43"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31-35</v>
      </c>
    </row>
    <row r="44" spans="1:14" x14ac:dyDescent="0.3">
      <c r="A44" t="s">
        <v>123</v>
      </c>
      <c r="B44" t="s">
        <v>124</v>
      </c>
      <c r="C44" t="s">
        <v>14</v>
      </c>
      <c r="D44">
        <v>36</v>
      </c>
      <c r="E44" t="s">
        <v>265</v>
      </c>
      <c r="F44" t="s">
        <v>16</v>
      </c>
      <c r="G44" t="s">
        <v>17</v>
      </c>
      <c r="H44" s="1">
        <v>43640</v>
      </c>
      <c r="J44">
        <v>940000</v>
      </c>
      <c r="K44">
        <v>0.15</v>
      </c>
      <c r="L44" t="s">
        <v>18</v>
      </c>
      <c r="M44">
        <f ca="1">IF(ISBLANK(Table1[[#This Row],[Exit Date]]), DATEDIF(Table1[[#This Row],[Hire Date]], TODAY(), "Y"), DATEDIF(Table1[[#This Row],[Hire Date]], Table1[[#This Row],[Exit Date]], "Y"))</f>
        <v>7</v>
      </c>
      <c r="N44"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36-40</v>
      </c>
    </row>
    <row r="45" spans="1:14" x14ac:dyDescent="0.3">
      <c r="A45" t="s">
        <v>125</v>
      </c>
      <c r="B45" t="s">
        <v>126</v>
      </c>
      <c r="C45" t="s">
        <v>21</v>
      </c>
      <c r="D45">
        <v>29</v>
      </c>
      <c r="E45" t="s">
        <v>51</v>
      </c>
      <c r="F45" t="s">
        <v>52</v>
      </c>
      <c r="G45" t="s">
        <v>53</v>
      </c>
      <c r="H45" s="1">
        <v>44648</v>
      </c>
      <c r="J45">
        <v>640000</v>
      </c>
      <c r="K45">
        <v>0</v>
      </c>
      <c r="L45" t="s">
        <v>18</v>
      </c>
      <c r="M45">
        <f ca="1">IF(ISBLANK(Table1[[#This Row],[Exit Date]]), DATEDIF(Table1[[#This Row],[Hire Date]], TODAY(), "Y"), DATEDIF(Table1[[#This Row],[Hire Date]], Table1[[#This Row],[Exit Date]], "Y"))</f>
        <v>4</v>
      </c>
      <c r="N45"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26-30</v>
      </c>
    </row>
    <row r="46" spans="1:14" x14ac:dyDescent="0.3">
      <c r="A46" t="s">
        <v>127</v>
      </c>
      <c r="B46" t="s">
        <v>128</v>
      </c>
      <c r="C46" t="s">
        <v>14</v>
      </c>
      <c r="D46">
        <v>35</v>
      </c>
      <c r="E46" t="s">
        <v>27</v>
      </c>
      <c r="F46" t="s">
        <v>16</v>
      </c>
      <c r="G46" t="s">
        <v>53</v>
      </c>
      <c r="H46" s="1">
        <v>42324</v>
      </c>
      <c r="J46">
        <v>1270000</v>
      </c>
      <c r="K46">
        <v>0.2</v>
      </c>
      <c r="L46" t="s">
        <v>18</v>
      </c>
      <c r="M46">
        <f ca="1">IF(ISBLANK(Table1[[#This Row],[Exit Date]]), DATEDIF(Table1[[#This Row],[Hire Date]], TODAY(), "Y"), DATEDIF(Table1[[#This Row],[Hire Date]], Table1[[#This Row],[Exit Date]], "Y"))</f>
        <v>10</v>
      </c>
      <c r="N46"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31-35</v>
      </c>
    </row>
    <row r="47" spans="1:14" x14ac:dyDescent="0.3">
      <c r="A47" t="s">
        <v>129</v>
      </c>
      <c r="B47" t="s">
        <v>130</v>
      </c>
      <c r="C47" t="s">
        <v>21</v>
      </c>
      <c r="D47">
        <v>39</v>
      </c>
      <c r="E47" t="s">
        <v>41</v>
      </c>
      <c r="F47" t="s">
        <v>42</v>
      </c>
      <c r="G47" t="s">
        <v>38</v>
      </c>
      <c r="H47" s="1">
        <v>42919</v>
      </c>
      <c r="J47">
        <v>990000</v>
      </c>
      <c r="K47">
        <v>0.1</v>
      </c>
      <c r="L47" t="s">
        <v>18</v>
      </c>
      <c r="M47">
        <f ca="1">IF(ISBLANK(Table1[[#This Row],[Exit Date]]), DATEDIF(Table1[[#This Row],[Hire Date]], TODAY(), "Y"), DATEDIF(Table1[[#This Row],[Hire Date]], Table1[[#This Row],[Exit Date]], "Y"))</f>
        <v>9</v>
      </c>
      <c r="N47"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36-40</v>
      </c>
    </row>
    <row r="48" spans="1:14" x14ac:dyDescent="0.3">
      <c r="A48" t="s">
        <v>131</v>
      </c>
      <c r="B48" t="s">
        <v>132</v>
      </c>
      <c r="C48" t="s">
        <v>14</v>
      </c>
      <c r="D48">
        <v>33</v>
      </c>
      <c r="E48" t="s">
        <v>80</v>
      </c>
      <c r="F48" t="s">
        <v>16</v>
      </c>
      <c r="G48" t="s">
        <v>17</v>
      </c>
      <c r="H48" s="1">
        <v>44221</v>
      </c>
      <c r="J48">
        <v>910000</v>
      </c>
      <c r="K48">
        <v>0.15</v>
      </c>
      <c r="L48" t="s">
        <v>18</v>
      </c>
      <c r="M48">
        <f ca="1">IF(ISBLANK(Table1[[#This Row],[Exit Date]]), DATEDIF(Table1[[#This Row],[Hire Date]], TODAY(), "Y"), DATEDIF(Table1[[#This Row],[Hire Date]], Table1[[#This Row],[Exit Date]], "Y"))</f>
        <v>5</v>
      </c>
      <c r="N48"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31-35</v>
      </c>
    </row>
    <row r="49" spans="1:14" x14ac:dyDescent="0.3">
      <c r="A49" t="s">
        <v>133</v>
      </c>
      <c r="B49" t="s">
        <v>134</v>
      </c>
      <c r="C49" t="s">
        <v>21</v>
      </c>
      <c r="D49">
        <v>27</v>
      </c>
      <c r="E49" t="s">
        <v>59</v>
      </c>
      <c r="F49" t="s">
        <v>42</v>
      </c>
      <c r="G49" t="s">
        <v>32</v>
      </c>
      <c r="H49" s="1">
        <v>45026</v>
      </c>
      <c r="J49">
        <v>730000</v>
      </c>
      <c r="K49">
        <v>0.2</v>
      </c>
      <c r="L49" t="s">
        <v>18</v>
      </c>
      <c r="M49">
        <f ca="1">IF(ISBLANK(Table1[[#This Row],[Exit Date]]), DATEDIF(Table1[[#This Row],[Hire Date]], TODAY(), "Y"), DATEDIF(Table1[[#This Row],[Hire Date]], Table1[[#This Row],[Exit Date]], "Y"))</f>
        <v>3</v>
      </c>
      <c r="N49"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26-30</v>
      </c>
    </row>
    <row r="50" spans="1:14" x14ac:dyDescent="0.3">
      <c r="A50" t="s">
        <v>135</v>
      </c>
      <c r="B50" t="s">
        <v>136</v>
      </c>
      <c r="C50" t="s">
        <v>14</v>
      </c>
      <c r="D50">
        <v>45</v>
      </c>
      <c r="E50" t="s">
        <v>36</v>
      </c>
      <c r="F50" t="s">
        <v>37</v>
      </c>
      <c r="G50" t="s">
        <v>38</v>
      </c>
      <c r="H50" s="1">
        <v>41505</v>
      </c>
      <c r="J50">
        <v>1550000</v>
      </c>
      <c r="K50">
        <v>0.1</v>
      </c>
      <c r="L50" t="s">
        <v>18</v>
      </c>
      <c r="M50">
        <f ca="1">IF(ISBLANK(Table1[[#This Row],[Exit Date]]), DATEDIF(Table1[[#This Row],[Hire Date]], TODAY(), "Y"), DATEDIF(Table1[[#This Row],[Hire Date]], Table1[[#This Row],[Exit Date]], "Y"))</f>
        <v>12</v>
      </c>
      <c r="N50"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41-45</v>
      </c>
    </row>
    <row r="51" spans="1:14" x14ac:dyDescent="0.3">
      <c r="A51" t="s">
        <v>137</v>
      </c>
      <c r="B51" t="s">
        <v>138</v>
      </c>
      <c r="C51" t="s">
        <v>21</v>
      </c>
      <c r="D51">
        <v>30</v>
      </c>
      <c r="E51" t="s">
        <v>30</v>
      </c>
      <c r="F51" t="s">
        <v>31</v>
      </c>
      <c r="G51" t="s">
        <v>72</v>
      </c>
      <c r="H51" s="1">
        <v>44452</v>
      </c>
      <c r="J51">
        <v>850000</v>
      </c>
      <c r="K51">
        <v>0.15</v>
      </c>
      <c r="L51" t="s">
        <v>18</v>
      </c>
      <c r="M51">
        <f ca="1">IF(ISBLANK(Table1[[#This Row],[Exit Date]]), DATEDIF(Table1[[#This Row],[Hire Date]], TODAY(), "Y"), DATEDIF(Table1[[#This Row],[Hire Date]], Table1[[#This Row],[Exit Date]], "Y"))</f>
        <v>4</v>
      </c>
      <c r="N51"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26-30</v>
      </c>
    </row>
    <row r="52" spans="1:14" x14ac:dyDescent="0.3">
      <c r="A52" t="s">
        <v>139</v>
      </c>
      <c r="B52" t="s">
        <v>140</v>
      </c>
      <c r="C52" t="s">
        <v>14</v>
      </c>
      <c r="D52">
        <v>26</v>
      </c>
      <c r="E52" t="s">
        <v>27</v>
      </c>
      <c r="F52" t="s">
        <v>16</v>
      </c>
      <c r="G52" t="s">
        <v>17</v>
      </c>
      <c r="H52" s="1">
        <v>45124</v>
      </c>
      <c r="J52">
        <v>560000</v>
      </c>
      <c r="K52">
        <v>0</v>
      </c>
      <c r="L52" t="s">
        <v>18</v>
      </c>
      <c r="M52">
        <f ca="1">IF(ISBLANK(Table1[[#This Row],[Exit Date]]), DATEDIF(Table1[[#This Row],[Hire Date]], TODAY(), "Y"), DATEDIF(Table1[[#This Row],[Hire Date]], Table1[[#This Row],[Exit Date]], "Y"))</f>
        <v>3</v>
      </c>
      <c r="N52"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26-30</v>
      </c>
    </row>
    <row r="53" spans="1:14" x14ac:dyDescent="0.3">
      <c r="A53" t="s">
        <v>141</v>
      </c>
      <c r="B53" t="s">
        <v>142</v>
      </c>
      <c r="C53" t="s">
        <v>21</v>
      </c>
      <c r="D53">
        <v>36</v>
      </c>
      <c r="E53" t="s">
        <v>22</v>
      </c>
      <c r="F53" t="s">
        <v>23</v>
      </c>
      <c r="G53" t="s">
        <v>24</v>
      </c>
      <c r="H53" s="1">
        <v>43374</v>
      </c>
      <c r="J53">
        <v>790000</v>
      </c>
      <c r="K53">
        <v>0.2</v>
      </c>
      <c r="L53" t="s">
        <v>18</v>
      </c>
      <c r="M53">
        <f ca="1">IF(ISBLANK(Table1[[#This Row],[Exit Date]]), DATEDIF(Table1[[#This Row],[Hire Date]], TODAY(), "Y"), DATEDIF(Table1[[#This Row],[Hire Date]], Table1[[#This Row],[Exit Date]], "Y"))</f>
        <v>7</v>
      </c>
      <c r="N53"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36-40</v>
      </c>
    </row>
    <row r="54" spans="1:14" x14ac:dyDescent="0.3">
      <c r="A54" t="s">
        <v>143</v>
      </c>
      <c r="B54" t="s">
        <v>144</v>
      </c>
      <c r="C54" t="s">
        <v>14</v>
      </c>
      <c r="D54">
        <v>40</v>
      </c>
      <c r="E54" t="s">
        <v>15</v>
      </c>
      <c r="F54" t="s">
        <v>16</v>
      </c>
      <c r="G54" t="s">
        <v>17</v>
      </c>
      <c r="H54" s="1">
        <v>42513</v>
      </c>
      <c r="J54">
        <v>1400000</v>
      </c>
      <c r="K54">
        <v>0.1</v>
      </c>
      <c r="L54" t="s">
        <v>18</v>
      </c>
      <c r="M54">
        <f ca="1">IF(ISBLANK(Table1[[#This Row],[Exit Date]]), DATEDIF(Table1[[#This Row],[Hire Date]], TODAY(), "Y"), DATEDIF(Table1[[#This Row],[Hire Date]], Table1[[#This Row],[Exit Date]], "Y"))</f>
        <v>10</v>
      </c>
      <c r="N54"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36-40</v>
      </c>
    </row>
    <row r="55" spans="1:14" x14ac:dyDescent="0.3">
      <c r="A55" t="s">
        <v>145</v>
      </c>
      <c r="B55" t="s">
        <v>146</v>
      </c>
      <c r="C55" t="s">
        <v>21</v>
      </c>
      <c r="D55">
        <v>28</v>
      </c>
      <c r="E55" t="s">
        <v>41</v>
      </c>
      <c r="F55" t="s">
        <v>42</v>
      </c>
      <c r="G55" t="s">
        <v>56</v>
      </c>
      <c r="H55" s="1">
        <v>44872</v>
      </c>
      <c r="J55">
        <v>610000</v>
      </c>
      <c r="K55">
        <v>0.15</v>
      </c>
      <c r="L55" t="s">
        <v>18</v>
      </c>
      <c r="M55">
        <f ca="1">IF(ISBLANK(Table1[[#This Row],[Exit Date]]), DATEDIF(Table1[[#This Row],[Hire Date]], TODAY(), "Y"), DATEDIF(Table1[[#This Row],[Hire Date]], Table1[[#This Row],[Exit Date]], "Y"))</f>
        <v>3</v>
      </c>
      <c r="N55"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26-30</v>
      </c>
    </row>
    <row r="56" spans="1:14" x14ac:dyDescent="0.3">
      <c r="A56" t="s">
        <v>147</v>
      </c>
      <c r="B56" t="s">
        <v>148</v>
      </c>
      <c r="C56" t="s">
        <v>14</v>
      </c>
      <c r="D56">
        <v>37</v>
      </c>
      <c r="E56" t="s">
        <v>265</v>
      </c>
      <c r="F56" t="s">
        <v>16</v>
      </c>
      <c r="G56" t="s">
        <v>17</v>
      </c>
      <c r="H56" s="1">
        <v>43507</v>
      </c>
      <c r="I56" s="1">
        <v>46011</v>
      </c>
      <c r="J56">
        <v>1000000</v>
      </c>
      <c r="K56">
        <v>0.2</v>
      </c>
      <c r="L56" t="s">
        <v>33</v>
      </c>
      <c r="M56">
        <f ca="1">IF(ISBLANK(Table1[[#This Row],[Exit Date]]), DATEDIF(Table1[[#This Row],[Hire Date]], TODAY(), "Y"), DATEDIF(Table1[[#This Row],[Hire Date]], Table1[[#This Row],[Exit Date]], "Y"))</f>
        <v>6</v>
      </c>
      <c r="N56"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36-40</v>
      </c>
    </row>
    <row r="57" spans="1:14" x14ac:dyDescent="0.3">
      <c r="A57" t="s">
        <v>149</v>
      </c>
      <c r="B57" t="s">
        <v>150</v>
      </c>
      <c r="C57" t="s">
        <v>21</v>
      </c>
      <c r="D57">
        <v>32</v>
      </c>
      <c r="E57" t="s">
        <v>51</v>
      </c>
      <c r="F57" t="s">
        <v>52</v>
      </c>
      <c r="G57" t="s">
        <v>53</v>
      </c>
      <c r="H57" s="1">
        <v>43941</v>
      </c>
      <c r="J57">
        <v>930000</v>
      </c>
      <c r="K57">
        <v>0.1</v>
      </c>
      <c r="L57" t="s">
        <v>18</v>
      </c>
      <c r="M57">
        <f ca="1">IF(ISBLANK(Table1[[#This Row],[Exit Date]]), DATEDIF(Table1[[#This Row],[Hire Date]], TODAY(), "Y"), DATEDIF(Table1[[#This Row],[Hire Date]], Table1[[#This Row],[Exit Date]], "Y"))</f>
        <v>6</v>
      </c>
      <c r="N57"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31-35</v>
      </c>
    </row>
    <row r="58" spans="1:14" x14ac:dyDescent="0.3">
      <c r="A58" t="s">
        <v>151</v>
      </c>
      <c r="B58" t="s">
        <v>152</v>
      </c>
      <c r="C58" t="s">
        <v>14</v>
      </c>
      <c r="D58">
        <v>29</v>
      </c>
      <c r="E58" t="s">
        <v>22</v>
      </c>
      <c r="F58" t="s">
        <v>23</v>
      </c>
      <c r="G58" t="s">
        <v>24</v>
      </c>
      <c r="H58" s="1">
        <v>44718</v>
      </c>
      <c r="J58">
        <v>580000</v>
      </c>
      <c r="K58">
        <v>0.15</v>
      </c>
      <c r="L58" t="s">
        <v>18</v>
      </c>
      <c r="M58">
        <f ca="1">IF(ISBLANK(Table1[[#This Row],[Exit Date]]), DATEDIF(Table1[[#This Row],[Hire Date]], TODAY(), "Y"), DATEDIF(Table1[[#This Row],[Hire Date]], Table1[[#This Row],[Exit Date]], "Y"))</f>
        <v>4</v>
      </c>
      <c r="N58"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26-30</v>
      </c>
    </row>
    <row r="59" spans="1:14" x14ac:dyDescent="0.3">
      <c r="A59" t="s">
        <v>153</v>
      </c>
      <c r="B59" t="s">
        <v>154</v>
      </c>
      <c r="C59" t="s">
        <v>21</v>
      </c>
      <c r="D59">
        <v>35</v>
      </c>
      <c r="E59" t="s">
        <v>30</v>
      </c>
      <c r="F59" t="s">
        <v>31</v>
      </c>
      <c r="G59" t="s">
        <v>32</v>
      </c>
      <c r="H59" s="1">
        <v>43787</v>
      </c>
      <c r="J59">
        <v>870000</v>
      </c>
      <c r="K59">
        <v>0</v>
      </c>
      <c r="L59" t="s">
        <v>18</v>
      </c>
      <c r="M59">
        <f ca="1">IF(ISBLANK(Table1[[#This Row],[Exit Date]]), DATEDIF(Table1[[#This Row],[Hire Date]], TODAY(), "Y"), DATEDIF(Table1[[#This Row],[Hire Date]], Table1[[#This Row],[Exit Date]], "Y"))</f>
        <v>6</v>
      </c>
      <c r="N59"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31-35</v>
      </c>
    </row>
    <row r="60" spans="1:14" x14ac:dyDescent="0.3">
      <c r="A60" t="s">
        <v>155</v>
      </c>
      <c r="B60" t="s">
        <v>156</v>
      </c>
      <c r="C60" t="s">
        <v>14</v>
      </c>
      <c r="D60">
        <v>31</v>
      </c>
      <c r="E60" t="s">
        <v>80</v>
      </c>
      <c r="F60" t="s">
        <v>16</v>
      </c>
      <c r="G60" t="s">
        <v>17</v>
      </c>
      <c r="H60" s="1">
        <v>44389</v>
      </c>
      <c r="J60">
        <v>980000</v>
      </c>
      <c r="K60">
        <v>0.2</v>
      </c>
      <c r="L60" t="s">
        <v>18</v>
      </c>
      <c r="M60">
        <f ca="1">IF(ISBLANK(Table1[[#This Row],[Exit Date]]), DATEDIF(Table1[[#This Row],[Hire Date]], TODAY(), "Y"), DATEDIF(Table1[[#This Row],[Hire Date]], Table1[[#This Row],[Exit Date]], "Y"))</f>
        <v>5</v>
      </c>
      <c r="N60"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31-35</v>
      </c>
    </row>
    <row r="61" spans="1:14" x14ac:dyDescent="0.3">
      <c r="A61" t="s">
        <v>157</v>
      </c>
      <c r="B61" t="s">
        <v>158</v>
      </c>
      <c r="C61" t="s">
        <v>21</v>
      </c>
      <c r="D61">
        <v>44</v>
      </c>
      <c r="E61" t="s">
        <v>36</v>
      </c>
      <c r="F61" t="s">
        <v>37</v>
      </c>
      <c r="G61" t="s">
        <v>56</v>
      </c>
      <c r="H61" s="1">
        <v>42037</v>
      </c>
      <c r="J61">
        <v>1120000</v>
      </c>
      <c r="K61">
        <v>0.1</v>
      </c>
      <c r="L61" t="s">
        <v>18</v>
      </c>
      <c r="M61">
        <f ca="1">IF(ISBLANK(Table1[[#This Row],[Exit Date]]), DATEDIF(Table1[[#This Row],[Hire Date]], TODAY(), "Y"), DATEDIF(Table1[[#This Row],[Hire Date]], Table1[[#This Row],[Exit Date]], "Y"))</f>
        <v>11</v>
      </c>
      <c r="N61"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41-45</v>
      </c>
    </row>
    <row r="62" spans="1:14" x14ac:dyDescent="0.3">
      <c r="A62" t="s">
        <v>159</v>
      </c>
      <c r="B62" t="s">
        <v>160</v>
      </c>
      <c r="C62" t="s">
        <v>14</v>
      </c>
      <c r="D62">
        <v>27</v>
      </c>
      <c r="E62" t="s">
        <v>59</v>
      </c>
      <c r="F62" t="s">
        <v>42</v>
      </c>
      <c r="G62" t="s">
        <v>17</v>
      </c>
      <c r="H62" s="1">
        <v>45005</v>
      </c>
      <c r="J62">
        <v>600000</v>
      </c>
      <c r="K62">
        <v>0.15</v>
      </c>
      <c r="L62" t="s">
        <v>18</v>
      </c>
      <c r="M62">
        <f ca="1">IF(ISBLANK(Table1[[#This Row],[Exit Date]]), DATEDIF(Table1[[#This Row],[Hire Date]], TODAY(), "Y"), DATEDIF(Table1[[#This Row],[Hire Date]], Table1[[#This Row],[Exit Date]], "Y"))</f>
        <v>3</v>
      </c>
      <c r="N62"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26-30</v>
      </c>
    </row>
    <row r="63" spans="1:14" x14ac:dyDescent="0.3">
      <c r="A63" t="s">
        <v>161</v>
      </c>
      <c r="B63" t="s">
        <v>162</v>
      </c>
      <c r="C63" t="s">
        <v>21</v>
      </c>
      <c r="D63">
        <v>33</v>
      </c>
      <c r="E63" t="s">
        <v>41</v>
      </c>
      <c r="F63" t="s">
        <v>42</v>
      </c>
      <c r="G63" t="s">
        <v>38</v>
      </c>
      <c r="H63" s="1">
        <v>44109</v>
      </c>
      <c r="J63">
        <v>680000</v>
      </c>
      <c r="K63">
        <v>0.2</v>
      </c>
      <c r="L63" t="s">
        <v>18</v>
      </c>
      <c r="M63">
        <f ca="1">IF(ISBLANK(Table1[[#This Row],[Exit Date]]), DATEDIF(Table1[[#This Row],[Hire Date]], TODAY(), "Y"), DATEDIF(Table1[[#This Row],[Hire Date]], Table1[[#This Row],[Exit Date]], "Y"))</f>
        <v>5</v>
      </c>
      <c r="N63"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31-35</v>
      </c>
    </row>
    <row r="64" spans="1:14" x14ac:dyDescent="0.3">
      <c r="A64" t="s">
        <v>163</v>
      </c>
      <c r="B64" t="s">
        <v>164</v>
      </c>
      <c r="C64" t="s">
        <v>14</v>
      </c>
      <c r="D64">
        <v>38</v>
      </c>
      <c r="E64" t="s">
        <v>15</v>
      </c>
      <c r="F64" t="s">
        <v>16</v>
      </c>
      <c r="G64" t="s">
        <v>17</v>
      </c>
      <c r="H64" s="1">
        <v>43311</v>
      </c>
      <c r="J64">
        <v>1030000</v>
      </c>
      <c r="K64">
        <v>0.1</v>
      </c>
      <c r="L64" t="s">
        <v>18</v>
      </c>
      <c r="M64">
        <f ca="1">IF(ISBLANK(Table1[[#This Row],[Exit Date]]), DATEDIF(Table1[[#This Row],[Hire Date]], TODAY(), "Y"), DATEDIF(Table1[[#This Row],[Hire Date]], Table1[[#This Row],[Exit Date]], "Y"))</f>
        <v>8</v>
      </c>
      <c r="N64"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36-40</v>
      </c>
    </row>
    <row r="65" spans="1:14" x14ac:dyDescent="0.3">
      <c r="A65" t="s">
        <v>165</v>
      </c>
      <c r="B65" t="s">
        <v>166</v>
      </c>
      <c r="C65" t="s">
        <v>21</v>
      </c>
      <c r="D65">
        <v>26</v>
      </c>
      <c r="E65" t="s">
        <v>51</v>
      </c>
      <c r="F65" t="s">
        <v>52</v>
      </c>
      <c r="G65" t="s">
        <v>53</v>
      </c>
      <c r="H65" s="1">
        <v>45313</v>
      </c>
      <c r="J65">
        <v>540000</v>
      </c>
      <c r="K65">
        <v>0</v>
      </c>
      <c r="L65" t="s">
        <v>18</v>
      </c>
      <c r="M65">
        <f ca="1">IF(ISBLANK(Table1[[#This Row],[Exit Date]]), DATEDIF(Table1[[#This Row],[Hire Date]], TODAY(), "Y"), DATEDIF(Table1[[#This Row],[Hire Date]], Table1[[#This Row],[Exit Date]], "Y"))</f>
        <v>2</v>
      </c>
      <c r="N65"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26-30</v>
      </c>
    </row>
    <row r="66" spans="1:14" x14ac:dyDescent="0.3">
      <c r="A66" t="s">
        <v>167</v>
      </c>
      <c r="B66" t="s">
        <v>168</v>
      </c>
      <c r="C66" t="s">
        <v>14</v>
      </c>
      <c r="D66">
        <v>42</v>
      </c>
      <c r="E66" t="s">
        <v>36</v>
      </c>
      <c r="F66" t="s">
        <v>37</v>
      </c>
      <c r="G66" t="s">
        <v>56</v>
      </c>
      <c r="H66" s="1">
        <v>42639</v>
      </c>
      <c r="J66">
        <v>1090000</v>
      </c>
      <c r="K66">
        <v>0.15</v>
      </c>
      <c r="L66" t="s">
        <v>18</v>
      </c>
      <c r="M66">
        <f ca="1">IF(ISBLANK(Table1[[#This Row],[Exit Date]]), DATEDIF(Table1[[#This Row],[Hire Date]], TODAY(), "Y"), DATEDIF(Table1[[#This Row],[Hire Date]], Table1[[#This Row],[Exit Date]], "Y"))</f>
        <v>9</v>
      </c>
      <c r="N66"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41-45</v>
      </c>
    </row>
    <row r="67" spans="1:14" x14ac:dyDescent="0.3">
      <c r="A67" t="s">
        <v>169</v>
      </c>
      <c r="B67" t="s">
        <v>170</v>
      </c>
      <c r="C67" t="s">
        <v>21</v>
      </c>
      <c r="D67">
        <v>31</v>
      </c>
      <c r="E67" t="s">
        <v>22</v>
      </c>
      <c r="F67" t="s">
        <v>23</v>
      </c>
      <c r="G67" t="s">
        <v>77</v>
      </c>
      <c r="H67" s="1">
        <v>44298</v>
      </c>
      <c r="J67">
        <v>720000</v>
      </c>
      <c r="K67">
        <v>0.2</v>
      </c>
      <c r="L67" t="s">
        <v>18</v>
      </c>
      <c r="M67">
        <f ca="1">IF(ISBLANK(Table1[[#This Row],[Exit Date]]), DATEDIF(Table1[[#This Row],[Hire Date]], TODAY(), "Y"), DATEDIF(Table1[[#This Row],[Hire Date]], Table1[[#This Row],[Exit Date]], "Y"))</f>
        <v>5</v>
      </c>
      <c r="N67"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31-35</v>
      </c>
    </row>
    <row r="68" spans="1:14" x14ac:dyDescent="0.3">
      <c r="A68" t="s">
        <v>171</v>
      </c>
      <c r="B68" t="s">
        <v>172</v>
      </c>
      <c r="C68" t="s">
        <v>14</v>
      </c>
      <c r="D68">
        <v>34</v>
      </c>
      <c r="E68" t="s">
        <v>80</v>
      </c>
      <c r="F68" t="s">
        <v>16</v>
      </c>
      <c r="G68" t="s">
        <v>17</v>
      </c>
      <c r="H68" s="1">
        <v>44179</v>
      </c>
      <c r="J68">
        <v>1250000</v>
      </c>
      <c r="K68">
        <v>0.1</v>
      </c>
      <c r="L68" t="s">
        <v>18</v>
      </c>
      <c r="M68">
        <f ca="1">IF(ISBLANK(Table1[[#This Row],[Exit Date]]), DATEDIF(Table1[[#This Row],[Hire Date]], TODAY(), "Y"), DATEDIF(Table1[[#This Row],[Hire Date]], Table1[[#This Row],[Exit Date]], "Y"))</f>
        <v>5</v>
      </c>
      <c r="N68"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31-35</v>
      </c>
    </row>
    <row r="69" spans="1:14" x14ac:dyDescent="0.3">
      <c r="A69" t="s">
        <v>173</v>
      </c>
      <c r="B69" t="s">
        <v>174</v>
      </c>
      <c r="C69" t="s">
        <v>21</v>
      </c>
      <c r="D69">
        <v>29</v>
      </c>
      <c r="E69" t="s">
        <v>27</v>
      </c>
      <c r="F69" t="s">
        <v>16</v>
      </c>
      <c r="G69" t="s">
        <v>72</v>
      </c>
      <c r="H69" s="1">
        <v>44599</v>
      </c>
      <c r="J69">
        <v>770000</v>
      </c>
      <c r="K69">
        <v>0.15</v>
      </c>
      <c r="L69" t="s">
        <v>18</v>
      </c>
      <c r="M69">
        <f ca="1">IF(ISBLANK(Table1[[#This Row],[Exit Date]]), DATEDIF(Table1[[#This Row],[Hire Date]], TODAY(), "Y"), DATEDIF(Table1[[#This Row],[Hire Date]], Table1[[#This Row],[Exit Date]], "Y"))</f>
        <v>4</v>
      </c>
      <c r="N69"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26-30</v>
      </c>
    </row>
    <row r="70" spans="1:14" x14ac:dyDescent="0.3">
      <c r="A70" t="s">
        <v>175</v>
      </c>
      <c r="B70" t="s">
        <v>176</v>
      </c>
      <c r="C70" t="s">
        <v>14</v>
      </c>
      <c r="D70">
        <v>46</v>
      </c>
      <c r="E70" t="s">
        <v>30</v>
      </c>
      <c r="F70" t="s">
        <v>31</v>
      </c>
      <c r="G70" t="s">
        <v>56</v>
      </c>
      <c r="H70" s="1">
        <v>41078</v>
      </c>
      <c r="J70">
        <v>1650000</v>
      </c>
      <c r="K70">
        <v>0</v>
      </c>
      <c r="L70" t="s">
        <v>18</v>
      </c>
      <c r="M70">
        <f ca="1">IF(ISBLANK(Table1[[#This Row],[Exit Date]]), DATEDIF(Table1[[#This Row],[Hire Date]], TODAY(), "Y"), DATEDIF(Table1[[#This Row],[Hire Date]], Table1[[#This Row],[Exit Date]], "Y"))</f>
        <v>14</v>
      </c>
      <c r="N70"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46-50</v>
      </c>
    </row>
    <row r="71" spans="1:14" x14ac:dyDescent="0.3">
      <c r="A71" t="s">
        <v>177</v>
      </c>
      <c r="B71" t="s">
        <v>178</v>
      </c>
      <c r="C71" t="s">
        <v>21</v>
      </c>
      <c r="D71">
        <v>37</v>
      </c>
      <c r="E71" t="s">
        <v>265</v>
      </c>
      <c r="F71" t="s">
        <v>16</v>
      </c>
      <c r="G71" t="s">
        <v>32</v>
      </c>
      <c r="H71" s="1">
        <v>43066</v>
      </c>
      <c r="J71">
        <v>1150000</v>
      </c>
      <c r="K71">
        <v>0.2</v>
      </c>
      <c r="L71" t="s">
        <v>18</v>
      </c>
      <c r="M71">
        <f ca="1">IF(ISBLANK(Table1[[#This Row],[Exit Date]]), DATEDIF(Table1[[#This Row],[Hire Date]], TODAY(), "Y"), DATEDIF(Table1[[#This Row],[Hire Date]], Table1[[#This Row],[Exit Date]], "Y"))</f>
        <v>8</v>
      </c>
      <c r="N71"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36-40</v>
      </c>
    </row>
    <row r="72" spans="1:14" x14ac:dyDescent="0.3">
      <c r="A72" t="s">
        <v>179</v>
      </c>
      <c r="B72" t="s">
        <v>180</v>
      </c>
      <c r="C72" t="s">
        <v>14</v>
      </c>
      <c r="D72">
        <v>30</v>
      </c>
      <c r="E72" t="s">
        <v>15</v>
      </c>
      <c r="F72" t="s">
        <v>16</v>
      </c>
      <c r="G72" t="s">
        <v>17</v>
      </c>
      <c r="H72" s="1">
        <v>44417</v>
      </c>
      <c r="J72">
        <v>880000</v>
      </c>
      <c r="K72">
        <v>0.1</v>
      </c>
      <c r="L72" t="s">
        <v>18</v>
      </c>
      <c r="M72">
        <f ca="1">IF(ISBLANK(Table1[[#This Row],[Exit Date]]), DATEDIF(Table1[[#This Row],[Hire Date]], TODAY(), "Y"), DATEDIF(Table1[[#This Row],[Hire Date]], Table1[[#This Row],[Exit Date]], "Y"))</f>
        <v>4</v>
      </c>
      <c r="N72"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26-30</v>
      </c>
    </row>
    <row r="73" spans="1:14" x14ac:dyDescent="0.3">
      <c r="A73" t="s">
        <v>181</v>
      </c>
      <c r="B73" t="s">
        <v>182</v>
      </c>
      <c r="C73" t="s">
        <v>21</v>
      </c>
      <c r="D73">
        <v>40</v>
      </c>
      <c r="E73" t="s">
        <v>22</v>
      </c>
      <c r="F73" t="s">
        <v>23</v>
      </c>
      <c r="G73" t="s">
        <v>24</v>
      </c>
      <c r="H73" s="1">
        <v>45355</v>
      </c>
      <c r="J73">
        <v>420000</v>
      </c>
      <c r="K73">
        <v>0.15</v>
      </c>
      <c r="L73" t="s">
        <v>18</v>
      </c>
      <c r="M73">
        <f ca="1">IF(ISBLANK(Table1[[#This Row],[Exit Date]]), DATEDIF(Table1[[#This Row],[Hire Date]], TODAY(), "Y"), DATEDIF(Table1[[#This Row],[Hire Date]], Table1[[#This Row],[Exit Date]], "Y"))</f>
        <v>2</v>
      </c>
      <c r="N73"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36-40</v>
      </c>
    </row>
    <row r="74" spans="1:14" x14ac:dyDescent="0.3">
      <c r="A74" t="s">
        <v>183</v>
      </c>
      <c r="B74" t="s">
        <v>184</v>
      </c>
      <c r="C74" t="s">
        <v>14</v>
      </c>
      <c r="D74">
        <v>39</v>
      </c>
      <c r="E74" t="s">
        <v>41</v>
      </c>
      <c r="F74" t="s">
        <v>42</v>
      </c>
      <c r="G74" t="s">
        <v>38</v>
      </c>
      <c r="H74" s="1">
        <v>43360</v>
      </c>
      <c r="J74">
        <v>1080000</v>
      </c>
      <c r="K74">
        <v>0.2</v>
      </c>
      <c r="L74" t="s">
        <v>18</v>
      </c>
      <c r="M74">
        <f ca="1">IF(ISBLANK(Table1[[#This Row],[Exit Date]]), DATEDIF(Table1[[#This Row],[Hire Date]], TODAY(), "Y"), DATEDIF(Table1[[#This Row],[Hire Date]], Table1[[#This Row],[Exit Date]], "Y"))</f>
        <v>7</v>
      </c>
      <c r="N74"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36-40</v>
      </c>
    </row>
    <row r="75" spans="1:14" x14ac:dyDescent="0.3">
      <c r="A75" t="s">
        <v>185</v>
      </c>
      <c r="B75" t="s">
        <v>186</v>
      </c>
      <c r="C75" t="s">
        <v>21</v>
      </c>
      <c r="D75">
        <v>34</v>
      </c>
      <c r="E75" t="s">
        <v>30</v>
      </c>
      <c r="F75" t="s">
        <v>31</v>
      </c>
      <c r="G75" t="s">
        <v>32</v>
      </c>
      <c r="H75" s="1">
        <v>43843</v>
      </c>
      <c r="I75" s="1">
        <v>46081</v>
      </c>
      <c r="J75">
        <v>590000</v>
      </c>
      <c r="K75">
        <v>0.1</v>
      </c>
      <c r="L75" t="s">
        <v>33</v>
      </c>
      <c r="M75">
        <f ca="1">IF(ISBLANK(Table1[[#This Row],[Exit Date]]), DATEDIF(Table1[[#This Row],[Hire Date]], TODAY(), "Y"), DATEDIF(Table1[[#This Row],[Hire Date]], Table1[[#This Row],[Exit Date]], "Y"))</f>
        <v>6</v>
      </c>
      <c r="N75"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31-35</v>
      </c>
    </row>
    <row r="76" spans="1:14" x14ac:dyDescent="0.3">
      <c r="A76" t="s">
        <v>187</v>
      </c>
      <c r="B76" t="s">
        <v>188</v>
      </c>
      <c r="C76" t="s">
        <v>14</v>
      </c>
      <c r="D76">
        <v>28</v>
      </c>
      <c r="E76" t="s">
        <v>59</v>
      </c>
      <c r="F76" t="s">
        <v>42</v>
      </c>
      <c r="G76" t="s">
        <v>17</v>
      </c>
      <c r="H76" s="1">
        <v>44858</v>
      </c>
      <c r="J76">
        <v>670000</v>
      </c>
      <c r="K76">
        <v>0</v>
      </c>
      <c r="L76" t="s">
        <v>18</v>
      </c>
      <c r="M76">
        <f ca="1">IF(ISBLANK(Table1[[#This Row],[Exit Date]]), DATEDIF(Table1[[#This Row],[Hire Date]], TODAY(), "Y"), DATEDIF(Table1[[#This Row],[Hire Date]], Table1[[#This Row],[Exit Date]], "Y"))</f>
        <v>3</v>
      </c>
      <c r="N76"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26-30</v>
      </c>
    </row>
    <row r="77" spans="1:14" x14ac:dyDescent="0.3">
      <c r="A77" t="s">
        <v>189</v>
      </c>
      <c r="B77" t="s">
        <v>190</v>
      </c>
      <c r="C77" t="s">
        <v>21</v>
      </c>
      <c r="D77">
        <v>40</v>
      </c>
      <c r="E77" t="s">
        <v>36</v>
      </c>
      <c r="F77" t="s">
        <v>37</v>
      </c>
      <c r="G77" t="s">
        <v>72</v>
      </c>
      <c r="H77" s="1">
        <v>42695</v>
      </c>
      <c r="J77">
        <v>1300000</v>
      </c>
      <c r="K77">
        <v>0.15</v>
      </c>
      <c r="L77" t="s">
        <v>18</v>
      </c>
      <c r="M77">
        <f ca="1">IF(ISBLANK(Table1[[#This Row],[Exit Date]]), DATEDIF(Table1[[#This Row],[Hire Date]], TODAY(), "Y"), DATEDIF(Table1[[#This Row],[Hire Date]], Table1[[#This Row],[Exit Date]], "Y"))</f>
        <v>9</v>
      </c>
      <c r="N77"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36-40</v>
      </c>
    </row>
    <row r="78" spans="1:14" x14ac:dyDescent="0.3">
      <c r="A78" t="s">
        <v>191</v>
      </c>
      <c r="B78" t="s">
        <v>192</v>
      </c>
      <c r="C78" t="s">
        <v>14</v>
      </c>
      <c r="D78">
        <v>35</v>
      </c>
      <c r="E78" t="s">
        <v>80</v>
      </c>
      <c r="F78" t="s">
        <v>16</v>
      </c>
      <c r="G78" t="s">
        <v>17</v>
      </c>
      <c r="H78" s="1">
        <v>43570</v>
      </c>
      <c r="J78">
        <v>840000</v>
      </c>
      <c r="K78">
        <v>0.2</v>
      </c>
      <c r="L78" t="s">
        <v>18</v>
      </c>
      <c r="M78">
        <f ca="1">IF(ISBLANK(Table1[[#This Row],[Exit Date]]), DATEDIF(Table1[[#This Row],[Hire Date]], TODAY(), "Y"), DATEDIF(Table1[[#This Row],[Hire Date]], Table1[[#This Row],[Exit Date]], "Y"))</f>
        <v>7</v>
      </c>
      <c r="N78"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31-35</v>
      </c>
    </row>
    <row r="79" spans="1:14" x14ac:dyDescent="0.3">
      <c r="A79" t="s">
        <v>193</v>
      </c>
      <c r="B79" t="s">
        <v>194</v>
      </c>
      <c r="C79" t="s">
        <v>21</v>
      </c>
      <c r="D79">
        <v>27</v>
      </c>
      <c r="E79" t="s">
        <v>51</v>
      </c>
      <c r="F79" t="s">
        <v>52</v>
      </c>
      <c r="G79" t="s">
        <v>53</v>
      </c>
      <c r="H79" s="1">
        <v>45075</v>
      </c>
      <c r="J79">
        <v>570000</v>
      </c>
      <c r="K79">
        <v>0.1</v>
      </c>
      <c r="L79" t="s">
        <v>18</v>
      </c>
      <c r="M79">
        <f ca="1">IF(ISBLANK(Table1[[#This Row],[Exit Date]]), DATEDIF(Table1[[#This Row],[Hire Date]], TODAY(), "Y"), DATEDIF(Table1[[#This Row],[Hire Date]], Table1[[#This Row],[Exit Date]], "Y"))</f>
        <v>3</v>
      </c>
      <c r="N79"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26-30</v>
      </c>
    </row>
    <row r="80" spans="1:14" x14ac:dyDescent="0.3">
      <c r="A80" t="s">
        <v>195</v>
      </c>
      <c r="B80" t="s">
        <v>196</v>
      </c>
      <c r="C80" t="s">
        <v>14</v>
      </c>
      <c r="D80">
        <v>43</v>
      </c>
      <c r="E80" t="s">
        <v>265</v>
      </c>
      <c r="F80" t="s">
        <v>16</v>
      </c>
      <c r="G80" t="s">
        <v>32</v>
      </c>
      <c r="H80" s="1">
        <v>42023</v>
      </c>
      <c r="J80">
        <v>1200000</v>
      </c>
      <c r="K80">
        <v>0.15</v>
      </c>
      <c r="L80" t="s">
        <v>18</v>
      </c>
      <c r="M80">
        <f ca="1">IF(ISBLANK(Table1[[#This Row],[Exit Date]]), DATEDIF(Table1[[#This Row],[Hire Date]], TODAY(), "Y"), DATEDIF(Table1[[#This Row],[Hire Date]], Table1[[#This Row],[Exit Date]], "Y"))</f>
        <v>11</v>
      </c>
      <c r="N80"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41-45</v>
      </c>
    </row>
    <row r="81" spans="1:14" x14ac:dyDescent="0.3">
      <c r="A81" t="s">
        <v>197</v>
      </c>
      <c r="B81" t="s">
        <v>198</v>
      </c>
      <c r="C81" t="s">
        <v>21</v>
      </c>
      <c r="D81">
        <v>32</v>
      </c>
      <c r="E81" t="s">
        <v>27</v>
      </c>
      <c r="F81" t="s">
        <v>16</v>
      </c>
      <c r="G81" t="s">
        <v>56</v>
      </c>
      <c r="H81" s="1">
        <v>44501</v>
      </c>
      <c r="J81">
        <v>710000</v>
      </c>
      <c r="K81">
        <v>0.2</v>
      </c>
      <c r="L81" t="s">
        <v>18</v>
      </c>
      <c r="M81">
        <f ca="1">IF(ISBLANK(Table1[[#This Row],[Exit Date]]), DATEDIF(Table1[[#This Row],[Hire Date]], TODAY(), "Y"), DATEDIF(Table1[[#This Row],[Hire Date]], Table1[[#This Row],[Exit Date]], "Y"))</f>
        <v>4</v>
      </c>
      <c r="N81"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31-35</v>
      </c>
    </row>
    <row r="82" spans="1:14" x14ac:dyDescent="0.3">
      <c r="A82" t="s">
        <v>199</v>
      </c>
      <c r="B82" t="s">
        <v>200</v>
      </c>
      <c r="C82" t="s">
        <v>14</v>
      </c>
      <c r="D82">
        <v>29</v>
      </c>
      <c r="E82" t="s">
        <v>15</v>
      </c>
      <c r="F82" t="s">
        <v>16</v>
      </c>
      <c r="G82" t="s">
        <v>17</v>
      </c>
      <c r="H82" s="1">
        <v>44697</v>
      </c>
      <c r="J82">
        <v>820000</v>
      </c>
      <c r="K82">
        <v>0.1</v>
      </c>
      <c r="L82" t="s">
        <v>18</v>
      </c>
      <c r="M82">
        <f ca="1">IF(ISBLANK(Table1[[#This Row],[Exit Date]]), DATEDIF(Table1[[#This Row],[Hire Date]], TODAY(), "Y"), DATEDIF(Table1[[#This Row],[Hire Date]], Table1[[#This Row],[Exit Date]], "Y"))</f>
        <v>4</v>
      </c>
      <c r="N82"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26-30</v>
      </c>
    </row>
    <row r="83" spans="1:14" x14ac:dyDescent="0.3">
      <c r="A83" t="s">
        <v>201</v>
      </c>
      <c r="B83" t="s">
        <v>202</v>
      </c>
      <c r="C83" t="s">
        <v>21</v>
      </c>
      <c r="D83">
        <v>36</v>
      </c>
      <c r="E83" t="s">
        <v>22</v>
      </c>
      <c r="F83" t="s">
        <v>23</v>
      </c>
      <c r="G83" t="s">
        <v>24</v>
      </c>
      <c r="H83" s="1">
        <v>43227</v>
      </c>
      <c r="J83">
        <v>960000</v>
      </c>
      <c r="K83">
        <v>0</v>
      </c>
      <c r="L83" t="s">
        <v>18</v>
      </c>
      <c r="M83">
        <f ca="1">IF(ISBLANK(Table1[[#This Row],[Exit Date]]), DATEDIF(Table1[[#This Row],[Hire Date]], TODAY(), "Y"), DATEDIF(Table1[[#This Row],[Hire Date]], Table1[[#This Row],[Exit Date]], "Y"))</f>
        <v>8</v>
      </c>
      <c r="N83"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36-40</v>
      </c>
    </row>
    <row r="84" spans="1:14" x14ac:dyDescent="0.3">
      <c r="A84" t="s">
        <v>203</v>
      </c>
      <c r="B84" t="s">
        <v>204</v>
      </c>
      <c r="C84" t="s">
        <v>14</v>
      </c>
      <c r="D84">
        <v>31</v>
      </c>
      <c r="E84" t="s">
        <v>27</v>
      </c>
      <c r="F84" t="s">
        <v>16</v>
      </c>
      <c r="G84" t="s">
        <v>17</v>
      </c>
      <c r="H84" s="1">
        <v>44039</v>
      </c>
      <c r="J84">
        <v>900000</v>
      </c>
      <c r="K84">
        <v>0.15</v>
      </c>
      <c r="L84" t="s">
        <v>18</v>
      </c>
      <c r="M84">
        <f ca="1">IF(ISBLANK(Table1[[#This Row],[Exit Date]]), DATEDIF(Table1[[#This Row],[Hire Date]], TODAY(), "Y"), DATEDIF(Table1[[#This Row],[Hire Date]], Table1[[#This Row],[Exit Date]], "Y"))</f>
        <v>6</v>
      </c>
      <c r="N84"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31-35</v>
      </c>
    </row>
    <row r="85" spans="1:14" x14ac:dyDescent="0.3">
      <c r="A85" t="s">
        <v>205</v>
      </c>
      <c r="B85" t="s">
        <v>206</v>
      </c>
      <c r="C85" t="s">
        <v>21</v>
      </c>
      <c r="D85">
        <v>28</v>
      </c>
      <c r="E85" t="s">
        <v>59</v>
      </c>
      <c r="F85" t="s">
        <v>42</v>
      </c>
      <c r="G85" t="s">
        <v>38</v>
      </c>
      <c r="H85" s="1">
        <v>45152</v>
      </c>
      <c r="J85">
        <v>630000</v>
      </c>
      <c r="K85">
        <v>0.2</v>
      </c>
      <c r="L85" t="s">
        <v>18</v>
      </c>
      <c r="M85">
        <f ca="1">IF(ISBLANK(Table1[[#This Row],[Exit Date]]), DATEDIF(Table1[[#This Row],[Hire Date]], TODAY(), "Y"), DATEDIF(Table1[[#This Row],[Hire Date]], Table1[[#This Row],[Exit Date]], "Y"))</f>
        <v>2</v>
      </c>
      <c r="N85"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26-30</v>
      </c>
    </row>
    <row r="86" spans="1:14" x14ac:dyDescent="0.3">
      <c r="A86" t="s">
        <v>207</v>
      </c>
      <c r="B86" t="s">
        <v>208</v>
      </c>
      <c r="C86" t="s">
        <v>14</v>
      </c>
      <c r="D86">
        <v>41</v>
      </c>
      <c r="E86" t="s">
        <v>36</v>
      </c>
      <c r="F86" t="s">
        <v>37</v>
      </c>
      <c r="G86" t="s">
        <v>77</v>
      </c>
      <c r="H86" s="1">
        <v>42380</v>
      </c>
      <c r="J86">
        <v>1180000</v>
      </c>
      <c r="K86">
        <v>0.1</v>
      </c>
      <c r="L86" t="s">
        <v>18</v>
      </c>
      <c r="M86">
        <f ca="1">IF(ISBLANK(Table1[[#This Row],[Exit Date]]), DATEDIF(Table1[[#This Row],[Hire Date]], TODAY(), "Y"), DATEDIF(Table1[[#This Row],[Hire Date]], Table1[[#This Row],[Exit Date]], "Y"))</f>
        <v>10</v>
      </c>
      <c r="N86"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41-45</v>
      </c>
    </row>
    <row r="87" spans="1:14" x14ac:dyDescent="0.3">
      <c r="A87" t="s">
        <v>209</v>
      </c>
      <c r="B87" t="s">
        <v>210</v>
      </c>
      <c r="C87" t="s">
        <v>21</v>
      </c>
      <c r="D87">
        <v>33</v>
      </c>
      <c r="E87" t="s">
        <v>51</v>
      </c>
      <c r="F87" t="s">
        <v>52</v>
      </c>
      <c r="G87" t="s">
        <v>53</v>
      </c>
      <c r="H87" s="1">
        <v>44249</v>
      </c>
      <c r="J87">
        <v>690000</v>
      </c>
      <c r="K87">
        <v>0.15</v>
      </c>
      <c r="L87" t="s">
        <v>18</v>
      </c>
      <c r="M87">
        <f ca="1">IF(ISBLANK(Table1[[#This Row],[Exit Date]]), DATEDIF(Table1[[#This Row],[Hire Date]], TODAY(), "Y"), DATEDIF(Table1[[#This Row],[Hire Date]], Table1[[#This Row],[Exit Date]], "Y"))</f>
        <v>5</v>
      </c>
      <c r="N87"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31-35</v>
      </c>
    </row>
    <row r="88" spans="1:14" x14ac:dyDescent="0.3">
      <c r="A88" t="s">
        <v>211</v>
      </c>
      <c r="B88" t="s">
        <v>212</v>
      </c>
      <c r="C88" t="s">
        <v>14</v>
      </c>
      <c r="D88">
        <v>38</v>
      </c>
      <c r="E88" t="s">
        <v>80</v>
      </c>
      <c r="F88" t="s">
        <v>16</v>
      </c>
      <c r="G88" t="s">
        <v>17</v>
      </c>
      <c r="H88" s="1">
        <v>43073</v>
      </c>
      <c r="J88">
        <v>1280000</v>
      </c>
      <c r="K88">
        <v>0</v>
      </c>
      <c r="L88" t="s">
        <v>18</v>
      </c>
      <c r="M88">
        <f ca="1">IF(ISBLANK(Table1[[#This Row],[Exit Date]]), DATEDIF(Table1[[#This Row],[Hire Date]], TODAY(), "Y"), DATEDIF(Table1[[#This Row],[Hire Date]], Table1[[#This Row],[Exit Date]], "Y"))</f>
        <v>8</v>
      </c>
      <c r="N88"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36-40</v>
      </c>
    </row>
    <row r="89" spans="1:14" x14ac:dyDescent="0.3">
      <c r="A89" t="s">
        <v>213</v>
      </c>
      <c r="B89" t="s">
        <v>214</v>
      </c>
      <c r="C89" t="s">
        <v>21</v>
      </c>
      <c r="D89">
        <v>26</v>
      </c>
      <c r="E89" t="s">
        <v>30</v>
      </c>
      <c r="F89" t="s">
        <v>31</v>
      </c>
      <c r="G89" t="s">
        <v>32</v>
      </c>
      <c r="H89" s="1">
        <v>45397</v>
      </c>
      <c r="J89">
        <v>510000</v>
      </c>
      <c r="K89">
        <v>0.2</v>
      </c>
      <c r="L89" t="s">
        <v>18</v>
      </c>
      <c r="M89">
        <f ca="1">IF(ISBLANK(Table1[[#This Row],[Exit Date]]), DATEDIF(Table1[[#This Row],[Hire Date]], TODAY(), "Y"), DATEDIF(Table1[[#This Row],[Hire Date]], Table1[[#This Row],[Exit Date]], "Y"))</f>
        <v>2</v>
      </c>
      <c r="N89"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26-30</v>
      </c>
    </row>
    <row r="90" spans="1:14" x14ac:dyDescent="0.3">
      <c r="A90" t="s">
        <v>215</v>
      </c>
      <c r="B90" t="s">
        <v>216</v>
      </c>
      <c r="C90" t="s">
        <v>14</v>
      </c>
      <c r="D90">
        <v>44</v>
      </c>
      <c r="E90" t="s">
        <v>265</v>
      </c>
      <c r="F90" t="s">
        <v>16</v>
      </c>
      <c r="G90" t="s">
        <v>56</v>
      </c>
      <c r="H90" s="1">
        <v>41827</v>
      </c>
      <c r="J90">
        <v>1420000</v>
      </c>
      <c r="K90">
        <v>0.1</v>
      </c>
      <c r="L90" t="s">
        <v>18</v>
      </c>
      <c r="M90">
        <f ca="1">IF(ISBLANK(Table1[[#This Row],[Exit Date]]), DATEDIF(Table1[[#This Row],[Hire Date]], TODAY(), "Y"), DATEDIF(Table1[[#This Row],[Hire Date]], Table1[[#This Row],[Exit Date]], "Y"))</f>
        <v>12</v>
      </c>
      <c r="N90"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41-45</v>
      </c>
    </row>
    <row r="91" spans="1:14" x14ac:dyDescent="0.3">
      <c r="A91" t="s">
        <v>217</v>
      </c>
      <c r="B91" t="s">
        <v>218</v>
      </c>
      <c r="C91" t="s">
        <v>21</v>
      </c>
      <c r="D91">
        <v>30</v>
      </c>
      <c r="E91" t="s">
        <v>41</v>
      </c>
      <c r="F91" t="s">
        <v>42</v>
      </c>
      <c r="G91" t="s">
        <v>17</v>
      </c>
      <c r="H91" s="1">
        <v>44907</v>
      </c>
      <c r="J91">
        <v>750000</v>
      </c>
      <c r="K91">
        <v>0.15</v>
      </c>
      <c r="L91" t="s">
        <v>18</v>
      </c>
      <c r="M91">
        <f ca="1">IF(ISBLANK(Table1[[#This Row],[Exit Date]]), DATEDIF(Table1[[#This Row],[Hire Date]], TODAY(), "Y"), DATEDIF(Table1[[#This Row],[Hire Date]], Table1[[#This Row],[Exit Date]], "Y"))</f>
        <v>3</v>
      </c>
      <c r="N91"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26-30</v>
      </c>
    </row>
    <row r="92" spans="1:14" x14ac:dyDescent="0.3">
      <c r="A92" t="s">
        <v>219</v>
      </c>
      <c r="B92" t="s">
        <v>220</v>
      </c>
      <c r="C92" t="s">
        <v>14</v>
      </c>
      <c r="D92">
        <v>27</v>
      </c>
      <c r="E92" t="s">
        <v>15</v>
      </c>
      <c r="F92" t="s">
        <v>16</v>
      </c>
      <c r="G92" t="s">
        <v>17</v>
      </c>
      <c r="H92" s="1">
        <v>45187</v>
      </c>
      <c r="J92">
        <v>590000</v>
      </c>
      <c r="K92">
        <v>0.2</v>
      </c>
      <c r="L92" t="s">
        <v>18</v>
      </c>
      <c r="M92">
        <f ca="1">IF(ISBLANK(Table1[[#This Row],[Exit Date]]), DATEDIF(Table1[[#This Row],[Hire Date]], TODAY(), "Y"), DATEDIF(Table1[[#This Row],[Hire Date]], Table1[[#This Row],[Exit Date]], "Y"))</f>
        <v>2</v>
      </c>
      <c r="N92"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26-30</v>
      </c>
    </row>
    <row r="93" spans="1:14" x14ac:dyDescent="0.3">
      <c r="A93" t="s">
        <v>221</v>
      </c>
      <c r="B93" t="s">
        <v>222</v>
      </c>
      <c r="C93" t="s">
        <v>21</v>
      </c>
      <c r="D93">
        <v>39</v>
      </c>
      <c r="E93" t="s">
        <v>22</v>
      </c>
      <c r="F93" t="s">
        <v>23</v>
      </c>
      <c r="G93" t="s">
        <v>24</v>
      </c>
      <c r="H93" s="1">
        <v>42849</v>
      </c>
      <c r="J93">
        <v>820000</v>
      </c>
      <c r="K93">
        <v>0.1</v>
      </c>
      <c r="L93" t="s">
        <v>18</v>
      </c>
      <c r="M93">
        <f ca="1">IF(ISBLANK(Table1[[#This Row],[Exit Date]]), DATEDIF(Table1[[#This Row],[Hire Date]], TODAY(), "Y"), DATEDIF(Table1[[#This Row],[Hire Date]], Table1[[#This Row],[Exit Date]], "Y"))</f>
        <v>9</v>
      </c>
      <c r="N93"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36-40</v>
      </c>
    </row>
    <row r="94" spans="1:14" x14ac:dyDescent="0.3">
      <c r="A94" t="s">
        <v>223</v>
      </c>
      <c r="B94" t="s">
        <v>224</v>
      </c>
      <c r="C94" t="s">
        <v>14</v>
      </c>
      <c r="D94">
        <v>36</v>
      </c>
      <c r="E94" t="s">
        <v>36</v>
      </c>
      <c r="F94" t="s">
        <v>37</v>
      </c>
      <c r="G94" t="s">
        <v>56</v>
      </c>
      <c r="H94" s="1">
        <v>43759</v>
      </c>
      <c r="J94">
        <v>730000</v>
      </c>
      <c r="K94">
        <v>0</v>
      </c>
      <c r="L94" t="s">
        <v>18</v>
      </c>
      <c r="M94">
        <f ca="1">IF(ISBLANK(Table1[[#This Row],[Exit Date]]), DATEDIF(Table1[[#This Row],[Hire Date]], TODAY(), "Y"), DATEDIF(Table1[[#This Row],[Hire Date]], Table1[[#This Row],[Exit Date]], "Y"))</f>
        <v>6</v>
      </c>
      <c r="N94"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36-40</v>
      </c>
    </row>
    <row r="95" spans="1:14" x14ac:dyDescent="0.3">
      <c r="A95" t="s">
        <v>225</v>
      </c>
      <c r="B95" t="s">
        <v>226</v>
      </c>
      <c r="C95" t="s">
        <v>21</v>
      </c>
      <c r="D95">
        <v>31</v>
      </c>
      <c r="E95" t="s">
        <v>59</v>
      </c>
      <c r="F95" t="s">
        <v>42</v>
      </c>
      <c r="G95" t="s">
        <v>77</v>
      </c>
      <c r="H95" s="1">
        <v>43906</v>
      </c>
      <c r="J95">
        <v>650000</v>
      </c>
      <c r="K95">
        <v>0.15</v>
      </c>
      <c r="L95" t="s">
        <v>18</v>
      </c>
      <c r="M95">
        <f ca="1">IF(ISBLANK(Table1[[#This Row],[Exit Date]]), DATEDIF(Table1[[#This Row],[Hire Date]], TODAY(), "Y"), DATEDIF(Table1[[#This Row],[Hire Date]], Table1[[#This Row],[Exit Date]], "Y"))</f>
        <v>6</v>
      </c>
      <c r="N95"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31-35</v>
      </c>
    </row>
    <row r="96" spans="1:14" x14ac:dyDescent="0.3">
      <c r="A96" t="s">
        <v>227</v>
      </c>
      <c r="B96" t="s">
        <v>228</v>
      </c>
      <c r="C96" t="s">
        <v>14</v>
      </c>
      <c r="D96">
        <v>33</v>
      </c>
      <c r="E96" t="s">
        <v>27</v>
      </c>
      <c r="F96" t="s">
        <v>16</v>
      </c>
      <c r="G96" t="s">
        <v>17</v>
      </c>
      <c r="H96" s="1">
        <v>44375</v>
      </c>
      <c r="J96">
        <v>980000</v>
      </c>
      <c r="K96">
        <v>0.2</v>
      </c>
      <c r="L96" t="s">
        <v>18</v>
      </c>
      <c r="M96">
        <f ca="1">IF(ISBLANK(Table1[[#This Row],[Exit Date]]), DATEDIF(Table1[[#This Row],[Hire Date]], TODAY(), "Y"), DATEDIF(Table1[[#This Row],[Hire Date]], Table1[[#This Row],[Exit Date]], "Y"))</f>
        <v>5</v>
      </c>
      <c r="N96"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31-35</v>
      </c>
    </row>
    <row r="97" spans="1:14" x14ac:dyDescent="0.3">
      <c r="A97" t="s">
        <v>229</v>
      </c>
      <c r="B97" t="s">
        <v>230</v>
      </c>
      <c r="C97" t="s">
        <v>21</v>
      </c>
      <c r="D97">
        <v>42</v>
      </c>
      <c r="E97" t="s">
        <v>30</v>
      </c>
      <c r="F97" t="s">
        <v>31</v>
      </c>
      <c r="G97" t="s">
        <v>24</v>
      </c>
      <c r="H97" s="1">
        <v>42590</v>
      </c>
      <c r="J97">
        <v>1350000</v>
      </c>
      <c r="K97">
        <v>0.1</v>
      </c>
      <c r="L97" t="s">
        <v>18</v>
      </c>
      <c r="M97">
        <f ca="1">IF(ISBLANK(Table1[[#This Row],[Exit Date]]), DATEDIF(Table1[[#This Row],[Hire Date]], TODAY(), "Y"), DATEDIF(Table1[[#This Row],[Hire Date]], Table1[[#This Row],[Exit Date]], "Y"))</f>
        <v>9</v>
      </c>
      <c r="N97"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41-45</v>
      </c>
    </row>
    <row r="98" spans="1:14" x14ac:dyDescent="0.3">
      <c r="A98" t="s">
        <v>231</v>
      </c>
      <c r="B98" t="s">
        <v>232</v>
      </c>
      <c r="C98" t="s">
        <v>14</v>
      </c>
      <c r="D98">
        <v>29</v>
      </c>
      <c r="E98" t="s">
        <v>80</v>
      </c>
      <c r="F98" t="s">
        <v>16</v>
      </c>
      <c r="G98" t="s">
        <v>17</v>
      </c>
      <c r="H98" s="1">
        <v>44592</v>
      </c>
      <c r="J98">
        <v>700000</v>
      </c>
      <c r="K98">
        <v>0.15</v>
      </c>
      <c r="L98" t="s">
        <v>18</v>
      </c>
      <c r="M98">
        <f ca="1">IF(ISBLANK(Table1[[#This Row],[Exit Date]]), DATEDIF(Table1[[#This Row],[Hire Date]], TODAY(), "Y"), DATEDIF(Table1[[#This Row],[Hire Date]], Table1[[#This Row],[Exit Date]], "Y"))</f>
        <v>4</v>
      </c>
      <c r="N98"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26-30</v>
      </c>
    </row>
    <row r="99" spans="1:14" x14ac:dyDescent="0.3">
      <c r="A99" t="s">
        <v>233</v>
      </c>
      <c r="B99" t="s">
        <v>234</v>
      </c>
      <c r="C99" t="s">
        <v>21</v>
      </c>
      <c r="D99">
        <v>35</v>
      </c>
      <c r="E99" t="s">
        <v>51</v>
      </c>
      <c r="F99" t="s">
        <v>52</v>
      </c>
      <c r="G99" t="s">
        <v>53</v>
      </c>
      <c r="H99" s="1">
        <v>43451</v>
      </c>
      <c r="J99">
        <v>1010000</v>
      </c>
      <c r="K99">
        <v>0</v>
      </c>
      <c r="L99" t="s">
        <v>18</v>
      </c>
      <c r="M99">
        <f ca="1">IF(ISBLANK(Table1[[#This Row],[Exit Date]]), DATEDIF(Table1[[#This Row],[Hire Date]], TODAY(), "Y"), DATEDIF(Table1[[#This Row],[Hire Date]], Table1[[#This Row],[Exit Date]], "Y"))</f>
        <v>7</v>
      </c>
      <c r="N99"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31-35</v>
      </c>
    </row>
    <row r="100" spans="1:14" x14ac:dyDescent="0.3">
      <c r="A100" t="s">
        <v>235</v>
      </c>
      <c r="B100" t="s">
        <v>236</v>
      </c>
      <c r="C100" t="s">
        <v>14</v>
      </c>
      <c r="D100">
        <v>40</v>
      </c>
      <c r="E100" t="s">
        <v>41</v>
      </c>
      <c r="F100" t="s">
        <v>42</v>
      </c>
      <c r="G100" t="s">
        <v>38</v>
      </c>
      <c r="H100" s="1">
        <v>42149</v>
      </c>
      <c r="I100" s="1">
        <v>45930</v>
      </c>
      <c r="J100">
        <v>1160000</v>
      </c>
      <c r="K100">
        <v>0.2</v>
      </c>
      <c r="L100" t="s">
        <v>33</v>
      </c>
      <c r="M100">
        <f ca="1">IF(ISBLANK(Table1[[#This Row],[Exit Date]]), DATEDIF(Table1[[#This Row],[Hire Date]], TODAY(), "Y"), DATEDIF(Table1[[#This Row],[Hire Date]], Table1[[#This Row],[Exit Date]], "Y"))</f>
        <v>10</v>
      </c>
      <c r="N100"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36-40</v>
      </c>
    </row>
    <row r="101" spans="1:14" x14ac:dyDescent="0.3">
      <c r="A101" t="s">
        <v>237</v>
      </c>
      <c r="B101" t="s">
        <v>238</v>
      </c>
      <c r="C101" t="s">
        <v>21</v>
      </c>
      <c r="D101">
        <v>28</v>
      </c>
      <c r="E101" t="s">
        <v>265</v>
      </c>
      <c r="F101" t="s">
        <v>16</v>
      </c>
      <c r="G101" t="s">
        <v>32</v>
      </c>
      <c r="H101" s="1">
        <v>45208</v>
      </c>
      <c r="J101">
        <v>620000</v>
      </c>
      <c r="K101">
        <v>0.1</v>
      </c>
      <c r="L101" t="s">
        <v>18</v>
      </c>
      <c r="M101">
        <f ca="1">IF(ISBLANK(Table1[[#This Row],[Exit Date]]), DATEDIF(Table1[[#This Row],[Hire Date]], TODAY(), "Y"), DATEDIF(Table1[[#This Row],[Hire Date]], Table1[[#This Row],[Exit Date]], "Y"))</f>
        <v>2</v>
      </c>
      <c r="N101" t="str">
        <f>IF(AND(Table1[[#This Row],[Age]]&gt;=26, Table1[[#This Row],[Age]]&lt;=30), "26-30",IF(AND(Table1[[#This Row],[Age]]&gt;=31,Table1[[#This Row],[Age]]&lt;=35), "31-35", IF(AND(Table1[[#This Row],[Age]]&gt;=36, Table1[[#This Row],[Age]]&lt;=40), "36-40", IF(AND( Table1[[#This Row],[Age]]&gt;=41, Table1[[#This Row],[Age]]&lt;=45), "41-45", IF(AND(Table1[[#This Row],[Age]]&gt;=46, Table1[[#This Row],[Age]]&lt;=50), "46-50", IF(AND(Table1[[#This Row],[Age]]&gt;=51, Table1[[#This Row],[Age]]&lt;=60), "51-60",""))))))</f>
        <v>26-30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Lingeshkumar Vadivel</dc:creator>
  <cp:lastModifiedBy>Lingeshkumar Vadivel</cp:lastModifiedBy>
  <dcterms:created xsi:type="dcterms:W3CDTF">2026-08-06T07:09:23Z</dcterms:created>
  <dcterms:modified xsi:type="dcterms:W3CDTF">2026-08-06T14:02:40Z</dcterms:modified>
</cp:coreProperties>
</file>